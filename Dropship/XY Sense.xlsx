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Finance\Billing Template\Upstream\Dropship\"/>
    </mc:Choice>
  </mc:AlternateContent>
  <xr:revisionPtr revIDLastSave="0" documentId="13_ncr:1_{9A2FD4FF-805C-491D-9F27-D2E4C1A3DFC0}" xr6:coauthVersionLast="47" xr6:coauthVersionMax="47" xr10:uidLastSave="{00000000-0000-0000-0000-000000000000}"/>
  <bookViews>
    <workbookView xWindow="-120" yWindow="-120" windowWidth="29040" windowHeight="16440" activeTab="5" xr2:uid="{00A1F220-B496-4644-BB55-836357F490EA}"/>
  </bookViews>
  <sheets>
    <sheet name="Shipped SKU" sheetId="1" r:id="rId1"/>
    <sheet name="Shipped Types" sheetId="5" r:id="rId2"/>
    <sheet name="Rates" sheetId="2" r:id="rId3"/>
    <sheet name="SKU Summary" sheetId="3" r:id="rId4"/>
    <sheet name="Type Summary" sheetId="6" r:id="rId5"/>
    <sheet name="Summary" sheetId="10" r:id="rId6"/>
    <sheet name="Errors" sheetId="9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0" l="1"/>
  <c r="E25" i="10" s="1"/>
  <c r="B25" i="10"/>
  <c r="D16" i="2"/>
  <c r="E16" i="2"/>
  <c r="F16" i="2"/>
  <c r="G16" i="2"/>
  <c r="H16" i="2"/>
  <c r="K16" i="2"/>
  <c r="K3" i="3"/>
  <c r="K4" i="3"/>
  <c r="K5" i="3"/>
  <c r="K6" i="3"/>
  <c r="K7" i="3"/>
  <c r="K8" i="3"/>
  <c r="K9" i="3"/>
  <c r="K10" i="3"/>
  <c r="K11" i="3"/>
  <c r="K12" i="3"/>
  <c r="K15" i="3"/>
  <c r="K16" i="3"/>
  <c r="K17" i="3"/>
  <c r="K18" i="3"/>
  <c r="K19" i="3"/>
  <c r="K20" i="3"/>
  <c r="K21" i="3"/>
  <c r="K26" i="3"/>
  <c r="K27" i="3"/>
  <c r="K31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9" i="3"/>
  <c r="K70" i="3"/>
  <c r="K71" i="3"/>
  <c r="K72" i="3"/>
  <c r="K73" i="3"/>
  <c r="K74" i="3"/>
  <c r="K78" i="3"/>
  <c r="K80" i="3"/>
  <c r="K81" i="3"/>
  <c r="H3" i="3"/>
  <c r="I3" i="3"/>
  <c r="H9" i="3"/>
  <c r="I9" i="3" s="1"/>
  <c r="H14" i="3"/>
  <c r="I14" i="3" s="1"/>
  <c r="H19" i="3"/>
  <c r="I19" i="3"/>
  <c r="H20" i="3"/>
  <c r="I20" i="3" s="1"/>
  <c r="H21" i="3"/>
  <c r="I21" i="3"/>
  <c r="H22" i="3"/>
  <c r="I22" i="3"/>
  <c r="H23" i="3"/>
  <c r="I23" i="3"/>
  <c r="H24" i="3"/>
  <c r="I24" i="3"/>
  <c r="H25" i="3"/>
  <c r="I25" i="3"/>
  <c r="I26" i="3"/>
  <c r="I27" i="3"/>
  <c r="I28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 s="1"/>
  <c r="I37" i="3"/>
  <c r="H40" i="3"/>
  <c r="I40" i="3"/>
  <c r="H41" i="3"/>
  <c r="I41" i="3"/>
  <c r="H42" i="3"/>
  <c r="I42" i="3" s="1"/>
  <c r="H43" i="3"/>
  <c r="I43" i="3"/>
  <c r="H44" i="3"/>
  <c r="I44" i="3"/>
  <c r="H45" i="3"/>
  <c r="I45" i="3" s="1"/>
  <c r="H46" i="3"/>
  <c r="I46" i="3"/>
  <c r="H47" i="3"/>
  <c r="I47" i="3"/>
  <c r="H51" i="3"/>
  <c r="I51" i="3" s="1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I81" i="3"/>
  <c r="D3" i="3"/>
  <c r="E3" i="3" s="1"/>
  <c r="D4" i="3"/>
  <c r="H4" i="3" s="1"/>
  <c r="I4" i="3" s="1"/>
  <c r="D5" i="3"/>
  <c r="H5" i="3" s="1"/>
  <c r="I5" i="3" s="1"/>
  <c r="E5" i="3"/>
  <c r="D6" i="3"/>
  <c r="E6" i="3" s="1"/>
  <c r="D7" i="3"/>
  <c r="E7" i="3" s="1"/>
  <c r="D8" i="3"/>
  <c r="H8" i="3" s="1"/>
  <c r="I8" i="3" s="1"/>
  <c r="E8" i="3"/>
  <c r="D9" i="3"/>
  <c r="E9" i="3"/>
  <c r="D10" i="3"/>
  <c r="H10" i="3" s="1"/>
  <c r="I10" i="3" s="1"/>
  <c r="E10" i="3"/>
  <c r="D11" i="3"/>
  <c r="H11" i="3" s="1"/>
  <c r="I11" i="3" s="1"/>
  <c r="E11" i="3"/>
  <c r="D12" i="3"/>
  <c r="H12" i="3" s="1"/>
  <c r="I12" i="3" s="1"/>
  <c r="E12" i="3"/>
  <c r="D13" i="3"/>
  <c r="K13" i="3" s="1"/>
  <c r="E13" i="3"/>
  <c r="D14" i="3"/>
  <c r="E14" i="3" s="1"/>
  <c r="D15" i="3"/>
  <c r="H15" i="3" s="1"/>
  <c r="I15" i="3" s="1"/>
  <c r="D16" i="3"/>
  <c r="H16" i="3" s="1"/>
  <c r="I16" i="3" s="1"/>
  <c r="D17" i="3"/>
  <c r="E17" i="3" s="1"/>
  <c r="D18" i="3"/>
  <c r="E18" i="3" s="1"/>
  <c r="D19" i="3"/>
  <c r="E19" i="3"/>
  <c r="D20" i="3"/>
  <c r="E20" i="3"/>
  <c r="D21" i="3"/>
  <c r="E21" i="3"/>
  <c r="D22" i="3"/>
  <c r="K22" i="3" s="1"/>
  <c r="E22" i="3"/>
  <c r="D23" i="3"/>
  <c r="K23" i="3" s="1"/>
  <c r="E23" i="3"/>
  <c r="D24" i="3"/>
  <c r="K24" i="3" s="1"/>
  <c r="E24" i="3"/>
  <c r="D25" i="3"/>
  <c r="K25" i="3" s="1"/>
  <c r="E25" i="3"/>
  <c r="D26" i="3"/>
  <c r="H26" i="3" s="1"/>
  <c r="D27" i="3"/>
  <c r="H27" i="3" s="1"/>
  <c r="D28" i="3"/>
  <c r="E28" i="3" s="1"/>
  <c r="D29" i="3"/>
  <c r="K29" i="3" s="1"/>
  <c r="D30" i="3"/>
  <c r="E30" i="3" s="1"/>
  <c r="D31" i="3"/>
  <c r="E31" i="3"/>
  <c r="D32" i="3"/>
  <c r="K32" i="3" s="1"/>
  <c r="E32" i="3"/>
  <c r="D33" i="3"/>
  <c r="E33" i="3"/>
  <c r="D34" i="3"/>
  <c r="E34" i="3"/>
  <c r="D35" i="3"/>
  <c r="E35" i="3"/>
  <c r="D36" i="3"/>
  <c r="E36" i="3"/>
  <c r="D37" i="3"/>
  <c r="H37" i="3" s="1"/>
  <c r="E37" i="3"/>
  <c r="D38" i="3"/>
  <c r="E38" i="3" s="1"/>
  <c r="D39" i="3"/>
  <c r="E39" i="3" s="1"/>
  <c r="D40" i="3"/>
  <c r="E40" i="3" s="1"/>
  <c r="D41" i="3"/>
  <c r="E41" i="3"/>
  <c r="D42" i="3"/>
  <c r="E42" i="3"/>
  <c r="D43" i="3"/>
  <c r="E43" i="3" s="1"/>
  <c r="D44" i="3"/>
  <c r="E44" i="3"/>
  <c r="D45" i="3"/>
  <c r="E45" i="3"/>
  <c r="D46" i="3"/>
  <c r="E46" i="3"/>
  <c r="D47" i="3"/>
  <c r="E47" i="3"/>
  <c r="D48" i="3"/>
  <c r="H48" i="3" s="1"/>
  <c r="I48" i="3" s="1"/>
  <c r="E48" i="3"/>
  <c r="D49" i="3"/>
  <c r="H49" i="3" s="1"/>
  <c r="I49" i="3" s="1"/>
  <c r="E49" i="3"/>
  <c r="D50" i="3"/>
  <c r="E50" i="3" s="1"/>
  <c r="D51" i="3"/>
  <c r="E51" i="3" s="1"/>
  <c r="D52" i="3"/>
  <c r="E52" i="3" s="1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H59" i="3" s="1"/>
  <c r="I59" i="3" s="1"/>
  <c r="E59" i="3"/>
  <c r="D60" i="3"/>
  <c r="H60" i="3" s="1"/>
  <c r="I60" i="3" s="1"/>
  <c r="E60" i="3"/>
  <c r="D61" i="3"/>
  <c r="E61" i="3" s="1"/>
  <c r="D62" i="3"/>
  <c r="H62" i="3" s="1"/>
  <c r="D63" i="3"/>
  <c r="E63" i="3" s="1"/>
  <c r="D64" i="3"/>
  <c r="E64" i="3" s="1"/>
  <c r="D65" i="3"/>
  <c r="E65" i="3"/>
  <c r="D66" i="3"/>
  <c r="E66" i="3"/>
  <c r="D67" i="3"/>
  <c r="K67" i="3" s="1"/>
  <c r="E67" i="3"/>
  <c r="D68" i="3"/>
  <c r="K68" i="3" s="1"/>
  <c r="E68" i="3"/>
  <c r="D69" i="3"/>
  <c r="E69" i="3"/>
  <c r="D70" i="3"/>
  <c r="H70" i="3" s="1"/>
  <c r="I70" i="3" s="1"/>
  <c r="E70" i="3"/>
  <c r="D71" i="3"/>
  <c r="H71" i="3" s="1"/>
  <c r="I71" i="3" s="1"/>
  <c r="E71" i="3"/>
  <c r="D72" i="3"/>
  <c r="E72" i="3" s="1"/>
  <c r="D73" i="3"/>
  <c r="E73" i="3" s="1"/>
  <c r="D74" i="3"/>
  <c r="H74" i="3" s="1"/>
  <c r="E74" i="3"/>
  <c r="D75" i="3"/>
  <c r="E75" i="3" s="1"/>
  <c r="D76" i="3"/>
  <c r="K76" i="3" s="1"/>
  <c r="E76" i="3"/>
  <c r="D77" i="3"/>
  <c r="E77" i="3" s="1"/>
  <c r="D78" i="3"/>
  <c r="E78" i="3"/>
  <c r="D79" i="3"/>
  <c r="K79" i="3" s="1"/>
  <c r="E79" i="3"/>
  <c r="D80" i="3"/>
  <c r="E80" i="3"/>
  <c r="D81" i="3"/>
  <c r="H81" i="3" s="1"/>
  <c r="E81" i="3"/>
  <c r="C8" i="1"/>
  <c r="L41" i="3" l="1"/>
  <c r="L23" i="3"/>
  <c r="L22" i="3"/>
  <c r="M35" i="3"/>
  <c r="L40" i="3"/>
  <c r="L21" i="3"/>
  <c r="M49" i="3"/>
  <c r="M41" i="3"/>
  <c r="M78" i="3"/>
  <c r="L67" i="3"/>
  <c r="M25" i="3"/>
  <c r="L47" i="3"/>
  <c r="M19" i="3"/>
  <c r="L19" i="3"/>
  <c r="M70" i="3"/>
  <c r="L32" i="3"/>
  <c r="M31" i="3"/>
  <c r="L81" i="3"/>
  <c r="M79" i="3"/>
  <c r="L20" i="3"/>
  <c r="L66" i="3"/>
  <c r="L53" i="3"/>
  <c r="L65" i="3"/>
  <c r="M24" i="3"/>
  <c r="I16" i="2"/>
  <c r="J16" i="2" s="1"/>
  <c r="M56" i="3"/>
  <c r="L36" i="3"/>
  <c r="L55" i="3"/>
  <c r="L31" i="3"/>
  <c r="M81" i="3"/>
  <c r="M66" i="3"/>
  <c r="L37" i="3"/>
  <c r="M58" i="3"/>
  <c r="M57" i="3"/>
  <c r="L76" i="3"/>
  <c r="L74" i="3"/>
  <c r="M65" i="3"/>
  <c r="M40" i="3"/>
  <c r="L35" i="3"/>
  <c r="L59" i="3"/>
  <c r="M46" i="3"/>
  <c r="L34" i="3"/>
  <c r="L45" i="3"/>
  <c r="M33" i="3"/>
  <c r="L44" i="3"/>
  <c r="M69" i="3"/>
  <c r="M80" i="3"/>
  <c r="L12" i="3"/>
  <c r="L43" i="3"/>
  <c r="M43" i="3"/>
  <c r="M71" i="3"/>
  <c r="L52" i="3"/>
  <c r="M52" i="3"/>
  <c r="M42" i="3"/>
  <c r="L42" i="3"/>
  <c r="L68" i="3"/>
  <c r="M38" i="3"/>
  <c r="L51" i="3"/>
  <c r="L3" i="3"/>
  <c r="M3" i="3"/>
  <c r="L64" i="3"/>
  <c r="M64" i="3"/>
  <c r="L63" i="3"/>
  <c r="M63" i="3"/>
  <c r="M75" i="3"/>
  <c r="L48" i="3"/>
  <c r="M9" i="3"/>
  <c r="L9" i="3"/>
  <c r="L60" i="3"/>
  <c r="M8" i="3"/>
  <c r="L8" i="3"/>
  <c r="L58" i="3"/>
  <c r="L57" i="3"/>
  <c r="L24" i="3"/>
  <c r="H13" i="3"/>
  <c r="I13" i="3" s="1"/>
  <c r="L13" i="3" s="1"/>
  <c r="L80" i="3"/>
  <c r="L25" i="3"/>
  <c r="M48" i="3"/>
  <c r="L56" i="3"/>
  <c r="M55" i="3"/>
  <c r="M23" i="3"/>
  <c r="M34" i="3"/>
  <c r="L71" i="3"/>
  <c r="M47" i="3"/>
  <c r="L70" i="3"/>
  <c r="H29" i="3"/>
  <c r="H18" i="3"/>
  <c r="I18" i="3" s="1"/>
  <c r="H7" i="3"/>
  <c r="I7" i="3" s="1"/>
  <c r="L7" i="3" s="1"/>
  <c r="L69" i="3"/>
  <c r="M53" i="3"/>
  <c r="L46" i="3"/>
  <c r="M22" i="3"/>
  <c r="L78" i="3"/>
  <c r="K77" i="3"/>
  <c r="M77" i="3" s="1"/>
  <c r="K30" i="3"/>
  <c r="M30" i="3" s="1"/>
  <c r="L5" i="3"/>
  <c r="L11" i="3"/>
  <c r="E16" i="3"/>
  <c r="E4" i="3"/>
  <c r="H39" i="3"/>
  <c r="I39" i="3" s="1"/>
  <c r="M39" i="3" s="1"/>
  <c r="H28" i="3"/>
  <c r="H17" i="3"/>
  <c r="I17" i="3" s="1"/>
  <c r="L17" i="3" s="1"/>
  <c r="H6" i="3"/>
  <c r="I6" i="3" s="1"/>
  <c r="M6" i="3" s="1"/>
  <c r="M68" i="3"/>
  <c r="M45" i="3"/>
  <c r="M37" i="3"/>
  <c r="L10" i="3"/>
  <c r="L49" i="3"/>
  <c r="L33" i="3"/>
  <c r="L79" i="3"/>
  <c r="L54" i="3"/>
  <c r="H72" i="3"/>
  <c r="I72" i="3" s="1"/>
  <c r="M72" i="3" s="1"/>
  <c r="H61" i="3"/>
  <c r="I61" i="3" s="1"/>
  <c r="L61" i="3" s="1"/>
  <c r="H50" i="3"/>
  <c r="I50" i="3" s="1"/>
  <c r="M60" i="3"/>
  <c r="M21" i="3"/>
  <c r="K14" i="3"/>
  <c r="M14" i="3" s="1"/>
  <c r="E27" i="3"/>
  <c r="M27" i="3" s="1"/>
  <c r="E15" i="3"/>
  <c r="H38" i="3"/>
  <c r="I38" i="3" s="1"/>
  <c r="L38" i="3" s="1"/>
  <c r="K75" i="3"/>
  <c r="L75" i="3" s="1"/>
  <c r="M67" i="3"/>
  <c r="M44" i="3"/>
  <c r="M36" i="3"/>
  <c r="E26" i="3"/>
  <c r="M74" i="3"/>
  <c r="M59" i="3"/>
  <c r="M51" i="3"/>
  <c r="M20" i="3"/>
  <c r="M12" i="3"/>
  <c r="H73" i="3"/>
  <c r="I73" i="3" s="1"/>
  <c r="M73" i="3" s="1"/>
  <c r="K28" i="3"/>
  <c r="M28" i="3" s="1"/>
  <c r="M5" i="3"/>
  <c r="M11" i="3"/>
  <c r="M76" i="3"/>
  <c r="M54" i="3"/>
  <c r="M32" i="3"/>
  <c r="M10" i="3"/>
  <c r="E62" i="3"/>
  <c r="E29" i="3"/>
  <c r="E2" i="2"/>
  <c r="E3" i="2"/>
  <c r="E6" i="2"/>
  <c r="E7" i="2"/>
  <c r="E8" i="2"/>
  <c r="E9" i="2"/>
  <c r="E10" i="2"/>
  <c r="E11" i="2"/>
  <c r="E12" i="2"/>
  <c r="E13" i="2"/>
  <c r="E14" i="2"/>
  <c r="E15" i="2"/>
  <c r="G2" i="6"/>
  <c r="H2" i="6" s="1"/>
  <c r="G3" i="6"/>
  <c r="E4" i="2" s="1"/>
  <c r="G4" i="6"/>
  <c r="H4" i="6" s="1"/>
  <c r="G5" i="6"/>
  <c r="H5" i="6" s="1"/>
  <c r="E3" i="6"/>
  <c r="E4" i="6"/>
  <c r="E5" i="6"/>
  <c r="E2" i="6"/>
  <c r="E2" i="3"/>
  <c r="D2" i="3"/>
  <c r="H2" i="3" s="1"/>
  <c r="I2" i="3" s="1"/>
  <c r="K2" i="3"/>
  <c r="C8" i="10"/>
  <c r="B8" i="10"/>
  <c r="D2" i="6"/>
  <c r="D3" i="6"/>
  <c r="D4" i="2" s="1"/>
  <c r="D4" i="6"/>
  <c r="D5" i="6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C13" i="10"/>
  <c r="C14" i="10"/>
  <c r="C3" i="10"/>
  <c r="C6" i="10"/>
  <c r="C7" i="10"/>
  <c r="C9" i="10"/>
  <c r="C17" i="10"/>
  <c r="C20" i="10"/>
  <c r="C23" i="10"/>
  <c r="E23" i="10" s="1"/>
  <c r="C21" i="10"/>
  <c r="C22" i="10"/>
  <c r="C24" i="10"/>
  <c r="C12" i="10"/>
  <c r="B12" i="10"/>
  <c r="B13" i="10"/>
  <c r="B14" i="10"/>
  <c r="B3" i="10"/>
  <c r="B6" i="10"/>
  <c r="B7" i="10"/>
  <c r="B9" i="10"/>
  <c r="B17" i="10"/>
  <c r="B20" i="10"/>
  <c r="B23" i="10"/>
  <c r="B21" i="10"/>
  <c r="B22" i="10"/>
  <c r="B24" i="10"/>
  <c r="D2" i="5"/>
  <c r="C2" i="1"/>
  <c r="C3" i="1"/>
  <c r="C4" i="1"/>
  <c r="C5" i="1"/>
  <c r="C6" i="1"/>
  <c r="C7" i="1"/>
  <c r="D2" i="2"/>
  <c r="D3" i="2"/>
  <c r="D6" i="2"/>
  <c r="D7" i="2"/>
  <c r="D8" i="2"/>
  <c r="D9" i="2"/>
  <c r="D10" i="2"/>
  <c r="D11" i="2"/>
  <c r="D12" i="2"/>
  <c r="D13" i="2"/>
  <c r="D14" i="2"/>
  <c r="D15" i="2"/>
  <c r="H15" i="2"/>
  <c r="H3" i="2"/>
  <c r="H5" i="2"/>
  <c r="H4" i="2"/>
  <c r="H6" i="2"/>
  <c r="H7" i="2"/>
  <c r="H10" i="2"/>
  <c r="H14" i="2"/>
  <c r="H13" i="2"/>
  <c r="H2" i="2"/>
  <c r="G15" i="2"/>
  <c r="G3" i="2"/>
  <c r="G5" i="2"/>
  <c r="G4" i="2"/>
  <c r="G6" i="2"/>
  <c r="G14" i="2"/>
  <c r="G13" i="2"/>
  <c r="G2" i="2"/>
  <c r="F15" i="2"/>
  <c r="F3" i="2"/>
  <c r="F5" i="2"/>
  <c r="F4" i="2"/>
  <c r="F11" i="2"/>
  <c r="F7" i="2"/>
  <c r="F8" i="2"/>
  <c r="F9" i="2"/>
  <c r="F12" i="2"/>
  <c r="F10" i="2"/>
  <c r="F14" i="2"/>
  <c r="F13" i="2"/>
  <c r="F2" i="2"/>
  <c r="I83" i="3" l="1"/>
  <c r="E83" i="3"/>
  <c r="E7" i="6"/>
  <c r="K83" i="3"/>
  <c r="L27" i="3"/>
  <c r="M17" i="3"/>
  <c r="L39" i="3"/>
  <c r="L72" i="3"/>
  <c r="L77" i="3"/>
  <c r="L18" i="3"/>
  <c r="M18" i="3"/>
  <c r="L26" i="3"/>
  <c r="M26" i="3"/>
  <c r="L28" i="3"/>
  <c r="L29" i="3"/>
  <c r="M29" i="3"/>
  <c r="M62" i="3"/>
  <c r="L62" i="3"/>
  <c r="L73" i="3"/>
  <c r="M13" i="3"/>
  <c r="L30" i="3"/>
  <c r="L14" i="3"/>
  <c r="M61" i="3"/>
  <c r="L4" i="3"/>
  <c r="M4" i="3"/>
  <c r="L50" i="3"/>
  <c r="M50" i="3"/>
  <c r="M15" i="3"/>
  <c r="L15" i="3"/>
  <c r="L16" i="3"/>
  <c r="M16" i="3"/>
  <c r="L6" i="3"/>
  <c r="H3" i="6"/>
  <c r="J3" i="6" s="1"/>
  <c r="M7" i="3"/>
  <c r="H9" i="2"/>
  <c r="E5" i="2"/>
  <c r="I2" i="6"/>
  <c r="I5" i="6"/>
  <c r="I4" i="6"/>
  <c r="I2" i="2"/>
  <c r="J4" i="6"/>
  <c r="J5" i="6"/>
  <c r="J2" i="6"/>
  <c r="B3" i="9"/>
  <c r="H8" i="2"/>
  <c r="H12" i="2"/>
  <c r="L2" i="3"/>
  <c r="G12" i="2"/>
  <c r="M2" i="3"/>
  <c r="B2" i="9"/>
  <c r="B6" i="9"/>
  <c r="I13" i="2"/>
  <c r="E22" i="10" s="1"/>
  <c r="I14" i="2"/>
  <c r="E21" i="10" s="1"/>
  <c r="I15" i="2"/>
  <c r="E20" i="10" s="1"/>
  <c r="I3" i="2"/>
  <c r="I4" i="2"/>
  <c r="E24" i="10"/>
  <c r="F6" i="2"/>
  <c r="I6" i="2" s="1"/>
  <c r="H11" i="2"/>
  <c r="D5" i="2"/>
  <c r="I3" i="6" l="1"/>
  <c r="I7" i="6"/>
  <c r="L83" i="3"/>
  <c r="H7" i="6"/>
  <c r="D12" i="10"/>
  <c r="E12" i="10" s="1"/>
  <c r="I5" i="2"/>
  <c r="D13" i="10" s="1"/>
  <c r="E13" i="10" s="1"/>
  <c r="D14" i="10"/>
  <c r="E14" i="10" s="1"/>
  <c r="I12" i="2"/>
  <c r="J12" i="2" s="1"/>
  <c r="G11" i="2"/>
  <c r="I11" i="2" s="1"/>
  <c r="D8" i="10" s="1"/>
  <c r="G9" i="2"/>
  <c r="I9" i="2" s="1"/>
  <c r="D7" i="10" s="1"/>
  <c r="G10" i="2"/>
  <c r="I10" i="2" s="1"/>
  <c r="E17" i="10" s="1"/>
  <c r="G8" i="2"/>
  <c r="I8" i="2" s="1"/>
  <c r="J13" i="2"/>
  <c r="B5" i="9"/>
  <c r="J2" i="2"/>
  <c r="J14" i="2"/>
  <c r="G7" i="2"/>
  <c r="I7" i="2" s="1"/>
  <c r="J3" i="2"/>
  <c r="J15" i="2"/>
  <c r="J6" i="2"/>
  <c r="J4" i="2"/>
  <c r="J5" i="2" l="1"/>
  <c r="J8" i="2"/>
  <c r="D6" i="10"/>
  <c r="E6" i="10" s="1"/>
  <c r="D3" i="10"/>
  <c r="E3" i="10" s="1"/>
  <c r="D9" i="10"/>
  <c r="E9" i="10" s="1"/>
  <c r="E8" i="10"/>
  <c r="J11" i="2"/>
  <c r="E7" i="10"/>
  <c r="J9" i="2"/>
  <c r="J10" i="2"/>
  <c r="B4" i="9"/>
  <c r="J7" i="2"/>
  <c r="E27" i="10" l="1"/>
  <c r="J18" i="2"/>
</calcChain>
</file>

<file path=xl/sharedStrings.xml><?xml version="1.0" encoding="utf-8"?>
<sst xmlns="http://schemas.openxmlformats.org/spreadsheetml/2006/main" count="261" uniqueCount="228">
  <si>
    <t>SKU</t>
  </si>
  <si>
    <t>Qty</t>
  </si>
  <si>
    <t>Error</t>
  </si>
  <si>
    <t>xy-c-slnk</t>
  </si>
  <si>
    <t>xy-gw-g2-au</t>
  </si>
  <si>
    <t>XY Gateway (Gen 2) 106-1001-241 AU</t>
  </si>
  <si>
    <t>xy-gw-g2-eu</t>
  </si>
  <si>
    <t>XY Gateway (Gen 2) 106-1001-241 EU</t>
  </si>
  <si>
    <t>xy-gw-g2-my</t>
  </si>
  <si>
    <t>XY Gateway (Gen 2) 106-1001-241 MY</t>
  </si>
  <si>
    <t>xy-gw-g2x-eu</t>
  </si>
  <si>
    <t>XY Gateway Extend (Gen 2) 106-1002 EU</t>
  </si>
  <si>
    <t>xy-hub-3p-ps-915</t>
  </si>
  <si>
    <t>XY Presence Hub (MTCAP3-EN-A23UEA-LWM) 915Mhz</t>
  </si>
  <si>
    <t>xy-hub-pr-us</t>
  </si>
  <si>
    <t>XY Primary Hub 104-1001 US</t>
  </si>
  <si>
    <t>xy-hub-s-us</t>
  </si>
  <si>
    <t>XY Secondary Hub 101-1001-US</t>
  </si>
  <si>
    <t>xy-m-a-rod-wht</t>
  </si>
  <si>
    <t>xy-r-au</t>
  </si>
  <si>
    <t>xy-s-a-blk</t>
  </si>
  <si>
    <t>XY Area Sensor Black</t>
  </si>
  <si>
    <t>xy-s-a-wht</t>
  </si>
  <si>
    <t>XY Area Sensor White</t>
  </si>
  <si>
    <t>xy-s-e-wht</t>
  </si>
  <si>
    <t>xy-s-ps-wht-915</t>
  </si>
  <si>
    <t>XY Presence Sensor White (NE203-915M)</t>
  </si>
  <si>
    <t>#36269</t>
  </si>
  <si>
    <t>SAP Code</t>
  </si>
  <si>
    <t>Rate</t>
  </si>
  <si>
    <t>Storage</t>
  </si>
  <si>
    <t>Pallet Storage</t>
  </si>
  <si>
    <t>Freight</t>
  </si>
  <si>
    <t>Disbursement</t>
  </si>
  <si>
    <t>Name</t>
  </si>
  <si>
    <t>Ship Code</t>
  </si>
  <si>
    <t>Ship Qty</t>
  </si>
  <si>
    <t>Kit Code</t>
  </si>
  <si>
    <t>Kit Items</t>
  </si>
  <si>
    <t>Commission Code</t>
  </si>
  <si>
    <t>xy-gw-g2a-au</t>
  </si>
  <si>
    <t>XY Gateway Midspan Injector (Gen 2) 106-1003 AU</t>
  </si>
  <si>
    <t>xy-gw-g2a-eu</t>
  </si>
  <si>
    <t>XY Gateway Midspan Injector (Gen 2) 106-1003 EU</t>
  </si>
  <si>
    <t>xy-gw-g2a-in</t>
  </si>
  <si>
    <t>XY Gateway Midspan Injector (Gen 2) 106-1003 IN</t>
  </si>
  <si>
    <t>xy-gw-g2a-uk</t>
  </si>
  <si>
    <t>XY Gateway Midspan Injector (Gen 2) 106-1003 UK</t>
  </si>
  <si>
    <t>xy-gw-g2a-us</t>
  </si>
  <si>
    <t>XY Gateway Midspan Injector (Gen 2) 106-1003 US</t>
  </si>
  <si>
    <t>xy-gw-g2-in</t>
  </si>
  <si>
    <t>XY Gateway (Gen 2) 106-1001-200 IN</t>
  </si>
  <si>
    <t>XY Gateway (Gen 2) 106-1001-241 UK</t>
  </si>
  <si>
    <t>xy-gw-g2-us</t>
  </si>
  <si>
    <t>XY Gateway (Gen 2) 106-1001-241 US</t>
  </si>
  <si>
    <t>xy-gw-g2x-au</t>
  </si>
  <si>
    <t>XY Gateway Extend (Gen 2) 106-1002 AU</t>
  </si>
  <si>
    <t>xy-gw-g2x-in</t>
  </si>
  <si>
    <t>XY Gateway Extend (Gen 2) 106-1002 IN</t>
  </si>
  <si>
    <t>XY Gateway Extend (Gen 2) 106-1002 UK</t>
  </si>
  <si>
    <t>xy-gw-g2x-us</t>
  </si>
  <si>
    <t>XY Gateway Extend (Gen 2) 106-1002 US</t>
  </si>
  <si>
    <t>xy-hub-3p-ps-868-eu</t>
  </si>
  <si>
    <t>XY Presence Hub 868Mhz EU</t>
  </si>
  <si>
    <t>xy-hub-3p-ps-868-in</t>
  </si>
  <si>
    <t>XY Presence Hub 868Mhz IN</t>
  </si>
  <si>
    <t>XY Presence Hub 868Mhz UK</t>
  </si>
  <si>
    <t>xy-hub-3p-ps-915-au</t>
  </si>
  <si>
    <t>XY Presence Hub 915Mhz AU</t>
  </si>
  <si>
    <t>xy-hub-3p-ps-915-us</t>
  </si>
  <si>
    <t>XY Presence Hub 915Mhz US</t>
  </si>
  <si>
    <t>xy-hub-pr-au</t>
  </si>
  <si>
    <t>XY Primary Hub 104-1001 AU</t>
  </si>
  <si>
    <t>xy-hub-pr-ca</t>
  </si>
  <si>
    <t>XY Primary Hub 104-1001 CA</t>
  </si>
  <si>
    <t>xy-hub-pr-eu</t>
  </si>
  <si>
    <t>XY Primary Hub 104-1001 EU</t>
  </si>
  <si>
    <t>xy-hub-pr-gb</t>
  </si>
  <si>
    <t>XY Primary Hub 104-1001 GB</t>
  </si>
  <si>
    <t>xy-hub-pr-hk</t>
  </si>
  <si>
    <t>XY Primary Hub 104-1001 HK</t>
  </si>
  <si>
    <t>xy-hub-pr-il</t>
  </si>
  <si>
    <t>XY Primary Hub 104-1001 IL</t>
  </si>
  <si>
    <t>xy-hub-pr-in</t>
  </si>
  <si>
    <t>XY Primary Hub 104-1001 IN</t>
  </si>
  <si>
    <t>xy-hub-pr-jp</t>
  </si>
  <si>
    <t>XY Primary Hub 104-1001 JP</t>
  </si>
  <si>
    <t>xy-hub-pr-my</t>
  </si>
  <si>
    <t>XY Primary Hub 104-1001 MY</t>
  </si>
  <si>
    <t>xy-hub-pr-nz</t>
  </si>
  <si>
    <t>XY Primary Hub 104-1001 NZ</t>
  </si>
  <si>
    <t>xy-hub-pr-sg</t>
  </si>
  <si>
    <t>XY Primary Hub 104-1001 SG</t>
  </si>
  <si>
    <t>xy-hub-pr-za</t>
  </si>
  <si>
    <t>XY Primary Hub 104-1001 ZA</t>
  </si>
  <si>
    <t>xy-hub-s-au</t>
  </si>
  <si>
    <t>XY Secondary Hub 101-1001-AU</t>
  </si>
  <si>
    <t>xy-hub-s-ca</t>
  </si>
  <si>
    <t>XY Secondary Hub 101-1001-CA</t>
  </si>
  <si>
    <t>xy-hub-s-eu</t>
  </si>
  <si>
    <t>XY Secondary Hub 101-1001-EU</t>
  </si>
  <si>
    <t>xy-hub-s-gb</t>
  </si>
  <si>
    <t>XY Secondary Hub 101-1001-GB</t>
  </si>
  <si>
    <t>xy-hub-s-hk</t>
  </si>
  <si>
    <t>XY Secondary Hub 101-1001-HK</t>
  </si>
  <si>
    <t>xy-hub-s-il</t>
  </si>
  <si>
    <t>XY Secondary Hub 101-1001-IL</t>
  </si>
  <si>
    <t>xy-hub-s-in</t>
  </si>
  <si>
    <t>XY Secondary Hub 101-1001-IN</t>
  </si>
  <si>
    <t>xy-hub-s-jp</t>
  </si>
  <si>
    <t>XY Secondary Hub 101-1001-JP</t>
  </si>
  <si>
    <t>xy-hub-s-my</t>
  </si>
  <si>
    <t>XY Secondary Hub 101-1001-MY</t>
  </si>
  <si>
    <t>xy-hub-s-nz</t>
  </si>
  <si>
    <t>XY Secondary Hub 101-1001-NZ</t>
  </si>
  <si>
    <t>xy-hub-s-sg</t>
  </si>
  <si>
    <t>XY Secondary Hub 101-1001-SG</t>
  </si>
  <si>
    <t>xy-hub-s-za</t>
  </si>
  <si>
    <t>XY Secondary Hub 101-1001-ZA</t>
  </si>
  <si>
    <t>xy-r-in</t>
  </si>
  <si>
    <t>XY Router (India)</t>
  </si>
  <si>
    <t>xy-s-e-blk</t>
  </si>
  <si>
    <t>XY Entry Sensor Black</t>
  </si>
  <si>
    <t>xy-hub-3p-ps-868</t>
  </si>
  <si>
    <t>XY Presence Hub (MTCAP3-EN-A23UEA-LWM) 868 Mhz</t>
  </si>
  <si>
    <t xml:space="preserve">XY Sense – Router AU </t>
  </si>
  <si>
    <t>xy-s-ps-wht-868</t>
  </si>
  <si>
    <t>XY Presence Sensor White (NE203-868M)</t>
  </si>
  <si>
    <t>xy-s-ps-wht-868-eu</t>
  </si>
  <si>
    <t>XY Presence Sensor White (NE203-868M) EU</t>
  </si>
  <si>
    <t>xy-s-ps-wht-868-in</t>
  </si>
  <si>
    <t>XY Presence Sensor White (NE203-868M) IN</t>
  </si>
  <si>
    <t>XY Presence Sensor White (NE203-868M) UK</t>
  </si>
  <si>
    <t>xy-s-ps-wht-915-au</t>
  </si>
  <si>
    <t>XY Presence Sensor White (NE203-915M) AU</t>
  </si>
  <si>
    <t>xy-s-ps-wht-915-us</t>
  </si>
  <si>
    <t>XY Presence Sensor White (NE203-915M) US</t>
  </si>
  <si>
    <t>Ship Cost</t>
  </si>
  <si>
    <t>Kit Cost</t>
  </si>
  <si>
    <t>Comission Cost</t>
  </si>
  <si>
    <t>Total</t>
  </si>
  <si>
    <t>xy_domestic</t>
  </si>
  <si>
    <t>xy_international</t>
  </si>
  <si>
    <t>xy_pallet</t>
  </si>
  <si>
    <t>xy_express</t>
  </si>
  <si>
    <t>Domestic</t>
  </si>
  <si>
    <t>International</t>
  </si>
  <si>
    <t>Palletized</t>
  </si>
  <si>
    <t>Standard</t>
  </si>
  <si>
    <t>REF</t>
  </si>
  <si>
    <t>Cost</t>
  </si>
  <si>
    <t>Kitted</t>
  </si>
  <si>
    <t>Shipped</t>
  </si>
  <si>
    <t>Commissioned</t>
  </si>
  <si>
    <t>Orders</t>
  </si>
  <si>
    <t>Kit Qty</t>
  </si>
  <si>
    <t>Message</t>
  </si>
  <si>
    <t>Source</t>
  </si>
  <si>
    <t>Shipped SKU</t>
  </si>
  <si>
    <t>Shipped Types</t>
  </si>
  <si>
    <t>SKU Summary</t>
  </si>
  <si>
    <t>Type Summary</t>
  </si>
  <si>
    <t>Item</t>
  </si>
  <si>
    <t>1</t>
  </si>
  <si>
    <t>Rates</t>
  </si>
  <si>
    <t>0</t>
  </si>
  <si>
    <t>Sub-Account Freight Costs</t>
  </si>
  <si>
    <t>Labour - Labour Rate Weekday</t>
  </si>
  <si>
    <t>API Management</t>
  </si>
  <si>
    <t>Dropship - Per article fee (International)</t>
  </si>
  <si>
    <t>Dropship - Per article fee (Australia-wide)</t>
  </si>
  <si>
    <t>Dropship - Per item fee</t>
  </si>
  <si>
    <t>Kitting</t>
  </si>
  <si>
    <t>Commissioning - Presence HUB</t>
  </si>
  <si>
    <t>Commissioning - Presence Sensor</t>
  </si>
  <si>
    <t>RTS - Per Order Fee</t>
  </si>
  <si>
    <t>Commissioning - Gateway Primary</t>
  </si>
  <si>
    <t>Commissioning – Router AU with Telstra SIM</t>
  </si>
  <si>
    <t>Disbursement Fee</t>
  </si>
  <si>
    <t>SenseLink PoE Converter (passive PoE)</t>
  </si>
  <si>
    <t>XY Outer Box</t>
  </si>
  <si>
    <t>XY Rod Mount Universal White</t>
  </si>
  <si>
    <t>XY Entry Sensor White</t>
  </si>
  <si>
    <t>xy-s-a-wht-r</t>
  </si>
  <si>
    <t>XY Area Sensor White (Refubished)</t>
  </si>
  <si>
    <t>Drop Ship Services</t>
  </si>
  <si>
    <t>Commissioning</t>
  </si>
  <si>
    <t>Return to Sender (RTS Processing)</t>
  </si>
  <si>
    <t>Other Services</t>
  </si>
  <si>
    <t>Kitting - Per part fee</t>
  </si>
  <si>
    <t>Boxes</t>
  </si>
  <si>
    <t>Box Code</t>
  </si>
  <si>
    <t>Box Qty</t>
  </si>
  <si>
    <t>Box Cost</t>
  </si>
  <si>
    <t>xy-gw-g2-nz</t>
  </si>
  <si>
    <t>xy-gw-g2x-br</t>
  </si>
  <si>
    <t>xy-hub-3p-ps-ms-868</t>
  </si>
  <si>
    <t>xy-hub-3p-ps-ms-868-eu</t>
  </si>
  <si>
    <t>xy-hub-3p-ps-ms-868-in</t>
  </si>
  <si>
    <t>xy-hub-3p-ps-ms-915</t>
  </si>
  <si>
    <t>xy-hub-3p-ps-ms-915-au</t>
  </si>
  <si>
    <t>xy-hub-3p-ps-ms-915-us</t>
  </si>
  <si>
    <t>XY Presence Hub MS 868Mhz EU</t>
  </si>
  <si>
    <t>XY Presence Hub MS 868Mhz IN</t>
  </si>
  <si>
    <t>XY Presence Hub MS 868Mhz UK</t>
  </si>
  <si>
    <t>XY Presence Hub MS 915Mhz AU</t>
  </si>
  <si>
    <t>XY Presence Hub MS 915Mhz US</t>
  </si>
  <si>
    <t>XY Presence Hub (ND56 MS) 915Mhz</t>
  </si>
  <si>
    <t>XY Presence Hub (ND56 MS) 868 Mhz</t>
  </si>
  <si>
    <t>XY Gateway Extend (Gen 2) 106-1002 BR</t>
  </si>
  <si>
    <t>XY Gateway (Gen 2) 106-1001-241 NZ</t>
  </si>
  <si>
    <t>xy-gw-g2-gb</t>
  </si>
  <si>
    <t>xy-gw-g2x-gb</t>
  </si>
  <si>
    <t>xy-hub-3p-ps-ms-868-gb</t>
  </si>
  <si>
    <t>xy-hub-3p-ps-868-gb</t>
  </si>
  <si>
    <t>xy-s-ps-wht-868-gb</t>
  </si>
  <si>
    <t>xy-hub-s-nz-r</t>
  </si>
  <si>
    <t>xy-hub-s-au-r</t>
  </si>
  <si>
    <t>xy-hub-pr-nz-r</t>
  </si>
  <si>
    <t>xy-hub-pr-au-r</t>
  </si>
  <si>
    <t>xy-s-e-wht-r</t>
  </si>
  <si>
    <t>XY Secondary Hub 101-1001 (Refurbished) (NZ)</t>
  </si>
  <si>
    <t>XY Secondary Hub 101-1001 (Refurbished) (AU)</t>
  </si>
  <si>
    <t>XY Primary Hub 104-1001 (Refurbished) (NZ)</t>
  </si>
  <si>
    <t>XY Primary Hub 104-1001 (Refurbished) (AU)</t>
  </si>
  <si>
    <t>XY Entry Sensor White (Refurbished)</t>
  </si>
  <si>
    <t>Adhoc</t>
  </si>
  <si>
    <t>Adhoc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</si>
</sst>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4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9" fillId="5" borderId="4" xfId="10" applyAlignment="1">
      <alignment horizontal="right"/>
    </xf>
    <xf numFmtId="0" fontId="9" fillId="5" borderId="4" xfId="10"/>
    <xf numFmtId="1" fontId="0" fillId="0" borderId="0" xfId="0" applyNumberFormat="1"/>
    <xf numFmtId="1" fontId="11" fillId="6" borderId="4" xfId="12" applyNumberFormat="1"/>
    <xf numFmtId="44" fontId="11" fillId="6" borderId="4" xfId="12" applyNumberFormat="1"/>
    <xf numFmtId="44" fontId="11" fillId="6" borderId="4" xfId="12" applyNumberFormat="1" applyAlignment="1">
      <alignment horizontal="right"/>
    </xf>
    <xf numFmtId="0" fontId="10" fillId="6" borderId="5" xfId="11"/>
    <xf numFmtId="0" fontId="11" fillId="6" borderId="4" xfId="12"/>
    <xf numFmtId="0" fontId="10" fillId="6" borderId="5" xfId="0" applyFont="1" applyFill="1" applyBorder="1"/>
    <xf numFmtId="44" fontId="10" fillId="6" borderId="5" xfId="11" applyNumberFormat="1"/>
    <xf numFmtId="0" fontId="0" fillId="0" borderId="0" xfId="0" applyAlignment="1">
      <alignment horizontal="right"/>
    </xf>
    <xf numFmtId="0" fontId="1" fillId="10" borderId="0" xfId="20"/>
    <xf numFmtId="0" fontId="17" fillId="9" borderId="0" xfId="19"/>
    <xf numFmtId="49" fontId="9" fillId="5" borderId="4" xfId="10" applyNumberFormat="1" applyAlignment="1">
      <alignment horizontal="center"/>
    </xf>
    <xf numFmtId="0" fontId="17" fillId="9" borderId="0" xfId="19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9" fillId="5" borderId="10" xfId="10" applyBorder="1" applyAlignment="1">
      <alignment horizontal="right"/>
    </xf>
    <xf numFmtId="44" fontId="0" fillId="0" borderId="0" xfId="1" applyFont="1"/>
    <xf numFmtId="44" fontId="10" fillId="6" borderId="5" xfId="1" applyFont="1" applyFill="1" applyBorder="1"/>
    <xf numFmtId="44" fontId="1" fillId="10" borderId="0" xfId="1" applyFill="1"/>
    <xf numFmtId="0" fontId="16" fillId="0" borderId="0" xfId="0" applyFont="1" applyAlignment="1">
      <alignment horizontal="right"/>
    </xf>
    <xf numFmtId="0" fontId="1" fillId="20" borderId="0" xfId="30" applyAlignment="1">
      <alignment horizontal="center"/>
    </xf>
    <xf numFmtId="0" fontId="16" fillId="20" borderId="0" xfId="30" applyFont="1" applyAlignment="1">
      <alignment horizontal="center"/>
    </xf>
    <xf numFmtId="44" fontId="1" fillId="20" borderId="0" xfId="30" applyNumberFormat="1"/>
    <xf numFmtId="49" fontId="1" fillId="20" borderId="0" xfId="30" applyNumberFormat="1" applyAlignment="1">
      <alignment horizontal="center"/>
    </xf>
    <xf numFmtId="44" fontId="16" fillId="20" borderId="0" xfId="30" applyNumberFormat="1" applyFont="1"/>
    <xf numFmtId="49" fontId="16" fillId="20" borderId="0" xfId="30" applyNumberFormat="1" applyFont="1" applyAlignment="1">
      <alignment horizontal="center"/>
    </xf>
    <xf numFmtId="44" fontId="16" fillId="20" borderId="0" xfId="30" applyNumberFormat="1" applyFont="1" applyAlignment="1">
      <alignment horizontal="center"/>
    </xf>
    <xf numFmtId="0" fontId="1" fillId="10" borderId="0" xfId="20" applyAlignment="1">
      <alignment horizontal="center"/>
    </xf>
    <xf numFmtId="0" fontId="0" fillId="0" borderId="0" xfId="0" applyAlignment="1">
      <alignment horizontal="center" vertical="center"/>
    </xf>
    <xf numFmtId="0" fontId="1" fillId="10" borderId="0" xfId="20" applyAlignment="1">
      <alignment horizontal="center" vertical="center"/>
    </xf>
    <xf numFmtId="0" fontId="9" fillId="5" borderId="10" xfId="10" applyBorder="1"/>
    <xf numFmtId="49" fontId="9" fillId="5" borderId="4" xfId="10" applyNumberFormat="1" applyAlignment="1">
      <alignment horizontal="right"/>
    </xf>
    <xf numFmtId="49" fontId="9" fillId="5" borderId="4" xfId="10" applyNumberFormat="1"/>
    <xf numFmtId="43" fontId="0" fillId="0" borderId="0" xfId="45" applyFont="1"/>
    <xf numFmtId="43" fontId="1" fillId="10" borderId="0" xfId="45" applyFill="1"/>
    <xf numFmtId="0" fontId="0" fillId="0" borderId="0" xfId="0" applyFill="1" applyBorder="1"/>
    <xf numFmtId="0" fontId="9" fillId="5" borderId="4" xfId="10" applyBorder="1" applyAlignment="1">
      <alignment horizontal="right"/>
    </xf>
    <xf numFmtId="0" fontId="9" fillId="5" borderId="4" xfId="10" applyBorder="1"/>
    <xf numFmtId="44" fontId="10" fillId="6" borderId="0" xfId="1" applyFont="1" applyFill="1" applyBorder="1"/>
    <xf numFmtId="44" fontId="0" fillId="0" borderId="0" xfId="1" applyFont="1" applyBorder="1"/>
    <xf numFmtId="0" fontId="11" fillId="6" borderId="10" xfId="12" applyBorder="1"/>
    <xf numFmtId="0" fontId="11" fillId="6" borderId="10" xfId="12" applyNumberFormat="1" applyBorder="1"/>
    <xf numFmtId="0" fontId="10" fillId="6" borderId="11" xfId="11" applyNumberFormat="1" applyBorder="1"/>
    <xf numFmtId="0" fontId="0" fillId="0" borderId="0" xfId="0" applyNumberFormat="1" applyFill="1" applyBorder="1"/>
    <xf numFmtId="44" fontId="1" fillId="10" borderId="0" xfId="20" applyNumberFormat="1"/>
    <xf numFmtId="43" fontId="1" fillId="10" borderId="0" xfId="20" applyNumberFormat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5" builtinId="3"/>
    <cellStyle name="Currency" xfId="1" builtinId="4"/>
    <cellStyle name="Explanatory Text" xfId="17" builtinId="53" customBuiltin="1"/>
    <cellStyle name="Followed Hyperlink" xfId="44" builtinId="9" hidde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 hidde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3">
    <dxf>
      <numFmt numFmtId="0" formatCode="General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0" formatCode="General"/>
    </dxf>
    <dxf>
      <numFmt numFmtId="0" formatCode="General"/>
    </dxf>
    <dxf>
      <numFmt numFmtId="34" formatCode="_-&quot;$&quot;* #,##0.00_-;\-&quot;$&quot;* #,##0.00_-;_-&quot;$&quot;* &quot;-&quot;??_-;_-@_-"/>
    </dxf>
    <dxf>
      <numFmt numFmtId="0" formatCode="General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4" formatCode="_-&quot;$&quot;* #,##0.00_-;\-&quot;$&quot;* #,##0.00_-;_-&quot;$&quot;* &quot;-&quot;??_-;_-@_-"/>
    </dxf>
    <dxf>
      <numFmt numFmtId="1" formatCode="0"/>
    </dxf>
    <dxf>
      <numFmt numFmtId="34" formatCode="_-&quot;$&quot;* #,##0.00_-;\-&quot;$&quot;* #,##0.00_-;_-&quot;$&quot;* &quot;-&quot;??_-;_-@_-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1E541C2-C83E-47C3-A116-2DEE71B5E79E}">
      <tableStyleElement type="wholeTable" dxfId="22"/>
      <tableStyleElement type="headerRow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9FAB5F-4156-4438-87D9-10E7BB3562C6}" name="Ship_SKU" displayName="Ship_SKU" ref="A1:C8" totalsRowShown="0" headerRowCellStyle="Normal" dataCellStyle="Normal">
  <autoFilter ref="A1:C8" xr:uid="{689FAB5F-4156-4438-87D9-10E7BB3562C6}"/>
  <tableColumns count="3">
    <tableColumn id="1" xr3:uid="{17679FF9-EB04-473B-8F64-EEE76A76A2B2}" name="SKU" dataCellStyle="Normal"/>
    <tableColumn id="2" xr3:uid="{673B8975-D3E3-418C-9C84-52AE2D79D5AE}" name="Qty" dataDxfId="20" dataCellStyle="Normal"/>
    <tableColumn id="3" xr3:uid="{19826D0F-EEB9-41A6-9245-01026EEF5110}" name="Error" dataDxfId="19" dataCellStyle="Normal">
      <calculatedColumnFormula>_xlfn.CONCAT(
  IF(ISNA(MATCH(Ship_SKU[[#This Row],[SKU]], SKU[SKU], 0)), _xlfn.CONCAT("Missing ", Ship_SKU[[#This Row],[SKU]], " definition"), ""),
  IF(ISNUMBER(Ship_SKU[[#This Row],[Qty]]), "", "Quantity is not number")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67E437-28AE-41C5-9436-3B2C0516FFAB}" name="Ship_Type" displayName="Ship_Type" ref="A1:D2" totalsRowShown="0">
  <autoFilter ref="A1:D2" xr:uid="{9267E437-28AE-41C5-9436-3B2C0516FFAB}"/>
  <tableColumns count="4">
    <tableColumn id="1" xr3:uid="{200ABEF6-5238-4FCD-AC83-84B68D4D4838}" name="REF"/>
    <tableColumn id="2" xr3:uid="{7FCF562D-BB87-4432-80CA-C047B11BF23E}" name="Orders"/>
    <tableColumn id="5" xr3:uid="{36030B97-7D95-4091-B912-27AF6A2ED49B}" name="Boxes"/>
    <tableColumn id="3" xr3:uid="{51CE96A6-D026-4B7A-B4A7-DC490DBBE726}" name="Error" dataDxfId="18">
      <calculatedColumnFormula>_xlfn.CONCAT(
  IF(ISNA(MATCH(Ship_Type[[#This Row],[REF]], Type[REF], 0)), _xlfn.CONCAT("Missing ", Ship_Type[[#This Row],[REF]], " definition"), ""),
  IF(ISNUMBER(Ship_Type[[#This Row],[Orders]]), "", "Quantity is not number")
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DE09D7-D422-4DAA-A816-08D2DF870459}" name="Rate" displayName="Rate" ref="A1:K16" totalsRowShown="0" dataCellStyle="Normal">
  <autoFilter ref="A1:K16" xr:uid="{C3DE09D7-D422-4DAA-A816-08D2DF870459}"/>
  <sortState xmlns:xlrd2="http://schemas.microsoft.com/office/spreadsheetml/2017/richdata2" ref="A2:K15">
    <sortCondition ref="A1:A15"/>
  </sortState>
  <tableColumns count="11">
    <tableColumn id="1" xr3:uid="{24F70D57-2EE1-4C0C-AB27-FA9936CA2FDA}" name="SAP Code" dataCellStyle="Normal"/>
    <tableColumn id="2" xr3:uid="{551A844F-4250-48AF-996B-2DB5E2C14C9E}" name="Name" dataCellStyle="Normal"/>
    <tableColumn id="3" xr3:uid="{D3AEF243-FC04-4A0D-8F19-68B3EA5F9E86}" name="Rate" dataCellStyle="Currency"/>
    <tableColumn id="7" xr3:uid="{B071484C-D0BA-4C96-9047-56AA6FAE2695}" name="Orders" dataCellStyle="Calculation">
      <calculatedColumnFormula>SUMIF(Type[Ship Code], Rate[[#This Row],[SAP Code]], Type[Ship Qty])</calculatedColumnFormula>
    </tableColumn>
    <tableColumn id="11" xr3:uid="{82AEE1B4-4BC0-4139-877D-DD885F801755}" name="Boxes" dataDxfId="17" dataCellStyle="Calculation">
      <calculatedColumnFormula>SUMIF(Type[Box Code], Rate[[#This Row],[SAP Code]], Type[Box Qty])</calculatedColumnFormula>
    </tableColumn>
    <tableColumn id="10" xr3:uid="{D36CB0F0-B99E-4655-8240-3D29B34D47F2}" name="Shipped" dataCellStyle="Calculation">
      <calculatedColumnFormula>SUMIF(SKU[Ship Code], Rate[[#This Row],[SAP Code]], SKU[Ship Qty])</calculatedColumnFormula>
    </tableColumn>
    <tableColumn id="8" xr3:uid="{683B56EE-AF7D-4895-922B-EBC3DCB82A98}" name="Kitted" dataCellStyle="Calculation">
      <calculatedColumnFormula>SUMIF(SKU[Kit Code], Rate[[#This Row],[SAP Code]], SKU[Kit Qty])</calculatedColumnFormula>
    </tableColumn>
    <tableColumn id="9" xr3:uid="{A631A77F-4C93-47BA-B2F5-87087DAEEB42}" name="Commissioned" dataCellStyle="Calculation">
      <calculatedColumnFormula>SUMIF(SKU[Commission Code], Rate[[#This Row],[SAP Code]], SKU[Ship Qty])</calculatedColumnFormula>
    </tableColumn>
    <tableColumn id="6" xr3:uid="{43ECE4A2-7997-4541-9CF5-E9D0E002B84A}" name="Qty" dataDxfId="16" dataCellStyle="Output">
      <calculatedColumnFormula>SUM(Rate[[#This Row],[Orders]:[Commissioned]])</calculatedColumnFormula>
    </tableColumn>
    <tableColumn id="5" xr3:uid="{061815EC-389D-41AD-8624-476B7BDF7EF9}" name="Cost" dataCellStyle="Currency">
      <calculatedColumnFormula>Rate[[#This Row],[Rate]]*Rate[[#This Row],[Qty]]</calculatedColumnFormula>
    </tableColumn>
    <tableColumn id="4" xr3:uid="{3DA820DC-EBEF-4FE5-9A43-78816C2BB57F}" name="Error" dataDxfId="15" dataCellStyle="Normal">
      <calculatedColumnFormula>IF(ISNA(MATCH(Rate[[#This Row],[SAP Code]], Summary!A:A, 0)), _xlfn.CONCAT("Missing ", Rate[[#This Row],[SAP Code]], " in summary"), 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08F06A-19C6-485A-BFD6-642AAEDC81AB}" name="SKU" displayName="SKU" ref="A1:M81" totalsRowShown="0">
  <autoFilter ref="A1:M81" xr:uid="{3408F06A-19C6-485A-BFD6-642AAEDC81AB}"/>
  <sortState xmlns:xlrd2="http://schemas.microsoft.com/office/spreadsheetml/2017/richdata2" ref="A2:M81">
    <sortCondition ref="A1:A81"/>
  </sortState>
  <tableColumns count="13">
    <tableColumn id="1" xr3:uid="{D34CFDBF-6E27-474A-96EE-C62F3857D517}" name="SKU" dataCellStyle="Normal"/>
    <tableColumn id="2" xr3:uid="{31BC9093-55B2-47F4-AC5E-20202B2E6550}" name="Name" dataCellStyle="Normal"/>
    <tableColumn id="3" xr3:uid="{531877B5-9C86-4C0D-9CBB-838D9F308DF1}" name="Ship Code" dataDxfId="14" dataCellStyle="Input"/>
    <tableColumn id="4" xr3:uid="{7088BE2B-D88F-4C34-8161-100B57F8FB78}" name="Ship Qty" dataDxfId="13" dataCellStyle="Calculation">
      <calculatedColumnFormula>SUMIF(Ship_SKU[SKU], SKU[[#This Row],[SKU]], Ship_SKU[Qty])</calculatedColumnFormula>
    </tableColumn>
    <tableColumn id="11" xr3:uid="{B9C37E4C-73B3-4F6A-A718-1097B41D1E93}" name="Ship Cost" dataDxfId="12" dataCellStyle="Calculation">
      <calculatedColumnFormula>IF(SKU[[#This Row],[Ship Code]]="", 0, VLOOKUP(SKU[[#This Row],[Ship Code]], Rate[], 3, FALSE)*SKU[[#This Row],[Ship Qty]])</calculatedColumnFormula>
    </tableColumn>
    <tableColumn id="5" xr3:uid="{FB5DBA6D-00FD-4CED-8E0F-4F56D5A58EC5}" name="Kit Code" dataCellStyle="Input"/>
    <tableColumn id="6" xr3:uid="{687DD87B-20BA-46B9-B299-3A91BDAE14EC}" name="Kit Items" dataCellStyle="Input"/>
    <tableColumn id="14" xr3:uid="{4DBEE7C7-94EB-422A-9A5B-D62C4BDDD8E9}" name="Kit Qty" dataDxfId="11" dataCellStyle="Calculation">
      <calculatedColumnFormula>SKU[[#This Row],[Ship Qty]]*SKU[[#This Row],[Kit Items]]</calculatedColumnFormula>
    </tableColumn>
    <tableColumn id="12" xr3:uid="{5CCD393F-2453-4795-833A-23ECDF388B07}" name="Kit Cost" dataDxfId="10" dataCellStyle="Calculation">
      <calculatedColumnFormula>IF(SKU[[#This Row],[Kit Code]]="", 0, VLOOKUP(SKU[[#This Row],[Kit Code]], Rate[], 3, FALSE)*SKU[[#This Row],[Kit Qty]])</calculatedColumnFormula>
    </tableColumn>
    <tableColumn id="7" xr3:uid="{75ED25F9-159C-4388-8B09-7F5EE9FBF6F7}" name="Commission Code" dataDxfId="9" dataCellStyle="Input"/>
    <tableColumn id="13" xr3:uid="{140E9353-875E-4671-AD80-72991CE58F6D}" name="Comission Cost" dataDxfId="8" dataCellStyle="Calculation">
      <calculatedColumnFormula>IF(SKU[[#This Row],[Commission Code]]="", 0, VLOOKUP(SKU[[#This Row],[Commission Code]], Rate[], 3, FALSE)*SKU[[#This Row],[Ship Qty]])</calculatedColumnFormula>
    </tableColumn>
    <tableColumn id="8" xr3:uid="{6E734072-2A9B-43B4-A7B8-5682F9AC4C66}" name="Total" dataDxfId="7" dataCellStyle="Output">
      <calculatedColumnFormula>SKU[[#This Row],[Ship Cost]]+SKU[[#This Row],[Kit Cost]]+SKU[[#This Row],[Comission Cost]]</calculatedColumnFormula>
    </tableColumn>
    <tableColumn id="9" xr3:uid="{D23FACEE-5AD9-4665-B748-4AB1D0EFFD86}" name="Error" dataCellStyle="Normal">
      <calculatedColumnFormula>IF(OR(ISNA(SKU[[#This Row],[Ship Cost]]), ISNA(SKU[[#This Row],[Kit Cost]]), ISNA(SKU[[#This Row],[Comission Cost]])), "Error Accessing SAP Rate", 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697F71-8505-4801-AFD3-DB4D2092ACE2}" name="Type" displayName="Type" ref="A1:J5" totalsRowShown="0">
  <autoFilter ref="A1:J5" xr:uid="{A3697F71-8505-4801-AFD3-DB4D2092ACE2}"/>
  <tableColumns count="10">
    <tableColumn id="1" xr3:uid="{0B29E2D3-D0A7-41FB-85C2-6295CBE39907}" name="REF"/>
    <tableColumn id="2" xr3:uid="{0D310FA7-648F-4BF4-8DC2-E720EFF9B487}" name="Name"/>
    <tableColumn id="3" xr3:uid="{A41ACBAE-7476-4350-B5AA-9FBA621C2301}" name="Ship Code" dataCellStyle="Input"/>
    <tableColumn id="4" xr3:uid="{0365826B-1DC9-4904-8CF1-A1C7B2EC0BA0}" name="Ship Qty" dataDxfId="6" dataCellStyle="Calculation">
      <calculatedColumnFormula>SUMIF(Ship_Type[REF], Type[[#This Row],[REF]], Ship_Type[Orders])</calculatedColumnFormula>
    </tableColumn>
    <tableColumn id="9" xr3:uid="{D0E7EF92-E757-486E-906A-A119769F80D1}" name="Ship Cost" dataDxfId="5" dataCellStyle="Calculation">
      <calculatedColumnFormula>IF(Type[[#This Row],[Ship Code]]="", 0, VLOOKUP(Type[[#This Row],[Ship Code]], Rate[], 3, FALSE)*Type[[#This Row],[Ship Qty]])</calculatedColumnFormula>
    </tableColumn>
    <tableColumn id="7" xr3:uid="{36148E04-430E-4FF5-BF65-C29FA73C55AD}" name="Box Code" dataDxfId="4" dataCellStyle="Calculation">
      <calculatedColumnFormula>SUMIF(Ship_Type[REF], Type[[#This Row],[REF]], Ship_Type[Orders])</calculatedColumnFormula>
    </tableColumn>
    <tableColumn id="8" xr3:uid="{1D8B0D06-B87E-447C-8E0B-0A537482D6BA}" name="Box Qty" dataDxfId="3" dataCellStyle="Calculation">
      <calculatedColumnFormula>SUMIF(Ship_Type[REF], Type[[#This Row],[REF]], Ship_Type[Boxes])</calculatedColumnFormula>
    </tableColumn>
    <tableColumn id="5" xr3:uid="{3E13FEEA-904C-4B08-9F28-1B3E2FCE1F0F}" name="Box Cost" dataDxfId="2" dataCellStyle="Currency">
      <calculatedColumnFormula>IF(Type[[#This Row],[Box Code]]="", 0, VLOOKUP(Type[[#This Row],[Box Code]], Rate[], 3, FALSE)*Type[[#This Row],[Box Qty]])</calculatedColumnFormula>
    </tableColumn>
    <tableColumn id="10" xr3:uid="{AE973856-E4C4-4678-A890-E19350377DAC}" name="Cost" dataDxfId="1" dataCellStyle="Output">
      <calculatedColumnFormula>SUM(Type[[#This Row],[Ship Cost]], Type[[#This Row],[Box Cost]])</calculatedColumnFormula>
    </tableColumn>
    <tableColumn id="6" xr3:uid="{8FD79DA1-D3E8-4BF6-A486-3EB465A555C0}" name="Error" dataDxfId="0">
      <calculatedColumnFormula>IF(OR(ISNA(Type[[#This Row],[Ship Cost]]), ISNA(Type[[#This Row],[Box Cost]])), "Error Accessing SAP Rate",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A707E-1D19-41D6-8514-57E05F41ED7E}">
  <sheetPr codeName="Sheet1">
    <tabColor theme="5"/>
  </sheetPr>
  <dimension ref="A1:G16"/>
  <sheetViews>
    <sheetView workbookViewId="0">
      <selection activeCell="B3" sqref="B3"/>
    </sheetView>
  </sheetViews>
  <sheetFormatPr defaultRowHeight="15" x14ac:dyDescent="0.25"/>
  <cols>
    <col min="1" max="1" width="16.5703125" bestFit="1" customWidth="1"/>
    <col min="3" max="3" width="32.140625" bestFit="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22</v>
      </c>
      <c r="B2">
        <v>132</v>
      </c>
      <c r="C2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3" spans="1:7" x14ac:dyDescent="0.25">
      <c r="A3" t="s">
        <v>25</v>
      </c>
      <c r="B3">
        <v>38</v>
      </c>
      <c r="C3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4" spans="1:7" x14ac:dyDescent="0.25">
      <c r="A4" t="s">
        <v>27</v>
      </c>
      <c r="B4">
        <v>11</v>
      </c>
      <c r="C4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5" spans="1:7" x14ac:dyDescent="0.25">
      <c r="A5" t="s">
        <v>16</v>
      </c>
      <c r="B5">
        <v>9</v>
      </c>
      <c r="C5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6" spans="1:7" x14ac:dyDescent="0.25">
      <c r="A6" t="s">
        <v>55</v>
      </c>
      <c r="B6">
        <v>4</v>
      </c>
      <c r="C6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7" spans="1:7" x14ac:dyDescent="0.25">
      <c r="A7" t="s">
        <v>14</v>
      </c>
      <c r="B7">
        <v>4</v>
      </c>
      <c r="C7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8" spans="1:7" x14ac:dyDescent="0.25">
      <c r="A8" t="s">
        <v>12</v>
      </c>
      <c r="B8">
        <v>2</v>
      </c>
      <c r="C8" t="str">
        <f>_xlfn.CONCAT(
  IF(ISNA(MATCH(Ship_SKU[[#This Row],[SKU]], SKU[SKU], 0)), _xlfn.CONCAT("Missing ", Ship_SKU[[#This Row],[SKU]], " definition"), ""),
  IF(ISNUMBER(Ship_SKU[[#This Row],[Qty]]), "", "Quantity is not number")
)</f>
        <v/>
      </c>
    </row>
    <row r="9" spans="1:7" x14ac:dyDescent="0.25">
      <c r="B9" s="3"/>
    </row>
    <row r="10" spans="1:7" x14ac:dyDescent="0.25">
      <c r="B10" s="3"/>
    </row>
    <row r="11" spans="1:7" x14ac:dyDescent="0.25">
      <c r="B11" s="3"/>
    </row>
    <row r="12" spans="1:7" x14ac:dyDescent="0.25">
      <c r="B12" s="3"/>
    </row>
    <row r="13" spans="1:7" x14ac:dyDescent="0.25">
      <c r="B13" s="3"/>
    </row>
    <row r="14" spans="1:7" x14ac:dyDescent="0.25">
      <c r="B14" s="3"/>
    </row>
    <row r="15" spans="1:7" x14ac:dyDescent="0.25">
      <c r="B15" s="3"/>
      <c r="G15" s="3"/>
    </row>
    <row r="16" spans="1:7" x14ac:dyDescent="0.25">
      <c r="B16" s="3"/>
    </row>
  </sheetData>
  <dataValidations count="1">
    <dataValidation type="whole" operator="greaterThan" showInputMessage="1" showErrorMessage="1" sqref="B2:B8" xr:uid="{FB48059A-80C0-42C2-8C41-BDE827D81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D868-0192-4E51-8CBA-6B1716C68046}">
  <sheetPr codeName="Sheet2">
    <tabColor theme="5"/>
  </sheetPr>
  <dimension ref="A1:D2"/>
  <sheetViews>
    <sheetView workbookViewId="0">
      <selection activeCell="D7" sqref="D7"/>
    </sheetView>
  </sheetViews>
  <sheetFormatPr defaultRowHeight="15" x14ac:dyDescent="0.25"/>
  <cols>
    <col min="1" max="1" width="15.7109375" bestFit="1" customWidth="1"/>
    <col min="4" max="4" width="28.28515625" bestFit="1" customWidth="1"/>
  </cols>
  <sheetData>
    <row r="1" spans="1:4" x14ac:dyDescent="0.25">
      <c r="A1" t="s">
        <v>149</v>
      </c>
      <c r="B1" t="s">
        <v>154</v>
      </c>
      <c r="C1" t="s">
        <v>190</v>
      </c>
      <c r="D1" t="s">
        <v>2</v>
      </c>
    </row>
    <row r="2" spans="1:4" x14ac:dyDescent="0.25">
      <c r="A2" t="s">
        <v>142</v>
      </c>
      <c r="B2">
        <v>3</v>
      </c>
      <c r="C2">
        <v>11</v>
      </c>
      <c r="D2" t="str">
        <f>_xlfn.CONCAT(
  IF(ISNA(MATCH(Ship_Type[[#This Row],[REF]], Type[REF], 0)), _xlfn.CONCAT("Missing ", Ship_Type[[#This Row],[REF]], " definition"), ""),
  IF(ISNUMBER(Ship_Type[[#This Row],[Orders]]), "", "Quantity is not number")
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A3CA-EA90-4EEE-AB69-D6B46A5A568D}">
  <sheetPr codeName="Sheet3">
    <tabColor theme="2" tint="-0.499984740745262"/>
  </sheetPr>
  <dimension ref="A1:K18"/>
  <sheetViews>
    <sheetView workbookViewId="0">
      <selection activeCell="J18" sqref="J18"/>
    </sheetView>
  </sheetViews>
  <sheetFormatPr defaultRowHeight="15" x14ac:dyDescent="0.25"/>
  <cols>
    <col min="1" max="1" width="13.5703125" bestFit="1" customWidth="1"/>
    <col min="2" max="2" width="50.85546875" bestFit="1" customWidth="1"/>
    <col min="3" max="3" width="12" bestFit="1" customWidth="1"/>
    <col min="4" max="5" width="9.7109375" customWidth="1"/>
    <col min="6" max="6" width="10.5703125" customWidth="1"/>
    <col min="7" max="7" width="8.85546875" customWidth="1"/>
    <col min="8" max="8" width="16.5703125" bestFit="1" customWidth="1"/>
    <col min="9" max="9" width="7" bestFit="1" customWidth="1"/>
    <col min="10" max="10" width="12" customWidth="1"/>
    <col min="11" max="11" width="26.42578125" bestFit="1" customWidth="1"/>
    <col min="12" max="12" width="25.85546875" bestFit="1" customWidth="1"/>
  </cols>
  <sheetData>
    <row r="1" spans="1:11" x14ac:dyDescent="0.25">
      <c r="A1" t="s">
        <v>28</v>
      </c>
      <c r="B1" t="s">
        <v>34</v>
      </c>
      <c r="C1" t="s">
        <v>29</v>
      </c>
      <c r="D1" t="s">
        <v>154</v>
      </c>
      <c r="E1" t="s">
        <v>190</v>
      </c>
      <c r="F1" t="s">
        <v>152</v>
      </c>
      <c r="G1" t="s">
        <v>151</v>
      </c>
      <c r="H1" t="s">
        <v>153</v>
      </c>
      <c r="I1" t="s">
        <v>1</v>
      </c>
      <c r="J1" t="s">
        <v>150</v>
      </c>
      <c r="K1" t="s">
        <v>2</v>
      </c>
    </row>
    <row r="2" spans="1:11" x14ac:dyDescent="0.25">
      <c r="A2">
        <v>1200108</v>
      </c>
      <c r="B2" t="s">
        <v>167</v>
      </c>
      <c r="C2" s="19">
        <v>110</v>
      </c>
      <c r="D2" s="8">
        <f>SUMIF(Type[Ship Code], Rate[[#This Row],[SAP Code]], Type[Ship Qty])</f>
        <v>0</v>
      </c>
      <c r="E2" s="8">
        <f>SUMIF(Type[Box Code], Rate[[#This Row],[SAP Code]], Type[Box Qty])</f>
        <v>0</v>
      </c>
      <c r="F2" s="8">
        <f>SUMIF(SKU[Ship Code], Rate[[#This Row],[SAP Code]], SKU[Ship Qty])</f>
        <v>0</v>
      </c>
      <c r="G2" s="8">
        <f>SUMIF(SKU[Kit Code], Rate[[#This Row],[SAP Code]], SKU[Kit Qty])</f>
        <v>0</v>
      </c>
      <c r="H2" s="8">
        <f>SUMIF(SKU[Commission Code], Rate[[#This Row],[SAP Code]], SKU[Ship Qty])</f>
        <v>0</v>
      </c>
      <c r="I2" s="7">
        <f>SUM(Rate[[#This Row],[Orders]:[Commissioned]])</f>
        <v>0</v>
      </c>
      <c r="J2" s="9">
        <f>Rate[[#This Row],[Rate]]*Rate[[#This Row],[Qty]]</f>
        <v>0</v>
      </c>
      <c r="K2" t="str">
        <f>IF(ISNA(MATCH(Rate[[#This Row],[SAP Code]], Summary!A:A, 0)), _xlfn.CONCAT("Missing ", Rate[[#This Row],[SAP Code]], " in summary"), "")</f>
        <v/>
      </c>
    </row>
    <row r="3" spans="1:11" x14ac:dyDescent="0.25">
      <c r="A3">
        <v>1200109</v>
      </c>
      <c r="B3" t="s">
        <v>168</v>
      </c>
      <c r="C3" s="19">
        <v>180</v>
      </c>
      <c r="D3" s="8">
        <f>SUMIF(Type[Ship Code], Rate[[#This Row],[SAP Code]], Type[Ship Qty])</f>
        <v>0</v>
      </c>
      <c r="E3" s="8">
        <f>SUMIF(Type[Box Code], Rate[[#This Row],[SAP Code]], Type[Box Qty])</f>
        <v>0</v>
      </c>
      <c r="F3" s="8">
        <f>SUMIF(SKU[Ship Code], Rate[[#This Row],[SAP Code]], SKU[Ship Qty])</f>
        <v>0</v>
      </c>
      <c r="G3" s="8">
        <f>SUMIF(SKU[Kit Code], Rate[[#This Row],[SAP Code]], SKU[Kit Qty])</f>
        <v>0</v>
      </c>
      <c r="H3" s="8">
        <f>SUMIF(SKU[Commission Code], Rate[[#This Row],[SAP Code]], SKU[Ship Qty])</f>
        <v>0</v>
      </c>
      <c r="I3" s="7">
        <f>SUM(Rate[[#This Row],[Orders]:[Commissioned]])</f>
        <v>0</v>
      </c>
      <c r="J3" s="20">
        <f>Rate[[#This Row],[Rate]]*Rate[[#This Row],[Qty]]</f>
        <v>0</v>
      </c>
      <c r="K3" t="str">
        <f>IF(ISNA(MATCH(Rate[[#This Row],[SAP Code]], Summary!A:A, 0)), _xlfn.CONCAT("Missing ", Rate[[#This Row],[SAP Code]], " in summary"), "")</f>
        <v/>
      </c>
    </row>
    <row r="4" spans="1:11" x14ac:dyDescent="0.25">
      <c r="A4">
        <v>4002237</v>
      </c>
      <c r="B4" t="s">
        <v>169</v>
      </c>
      <c r="C4" s="19">
        <v>5.49</v>
      </c>
      <c r="D4" s="8">
        <f>SUMIF(Type[Ship Code], Rate[[#This Row],[SAP Code]], Type[Ship Qty])</f>
        <v>0</v>
      </c>
      <c r="E4" s="8">
        <f>SUMIF(Type[Box Code], Rate[[#This Row],[SAP Code]], Type[Box Qty])</f>
        <v>11</v>
      </c>
      <c r="F4" s="8">
        <f>SUMIF(SKU[Ship Code], Rate[[#This Row],[SAP Code]], SKU[Ship Qty])</f>
        <v>0</v>
      </c>
      <c r="G4" s="8">
        <f>SUMIF(SKU[Kit Code], Rate[[#This Row],[SAP Code]], SKU[Kit Qty])</f>
        <v>0</v>
      </c>
      <c r="H4" s="8">
        <f>SUMIF(SKU[Commission Code], Rate[[#This Row],[SAP Code]], SKU[Ship Qty])</f>
        <v>0</v>
      </c>
      <c r="I4" s="7">
        <f>SUM(Rate[[#This Row],[Orders]:[Commissioned]])</f>
        <v>11</v>
      </c>
      <c r="J4" s="20">
        <f>Rate[[#This Row],[Rate]]*Rate[[#This Row],[Qty]]</f>
        <v>60.39</v>
      </c>
      <c r="K4" t="str">
        <f>IF(ISNA(MATCH(Rate[[#This Row],[SAP Code]], Summary!A:A, 0)), _xlfn.CONCAT("Missing ", Rate[[#This Row],[SAP Code]], " in summary"), "")</f>
        <v/>
      </c>
    </row>
    <row r="5" spans="1:11" x14ac:dyDescent="0.25">
      <c r="A5">
        <v>4002238</v>
      </c>
      <c r="B5" t="s">
        <v>170</v>
      </c>
      <c r="C5" s="19">
        <v>3.28</v>
      </c>
      <c r="D5" s="8">
        <f>SUMIF(Type[Ship Code], Rate[[#This Row],[SAP Code]], Type[Ship Qty])</f>
        <v>0</v>
      </c>
      <c r="E5" s="8">
        <f>SUMIF(Type[Box Code], Rate[[#This Row],[SAP Code]], Type[Box Qty])</f>
        <v>0</v>
      </c>
      <c r="F5" s="8">
        <f>SUMIF(SKU[Ship Code], Rate[[#This Row],[SAP Code]], SKU[Ship Qty])</f>
        <v>0</v>
      </c>
      <c r="G5" s="8">
        <f>SUMIF(SKU[Kit Code], Rate[[#This Row],[SAP Code]], SKU[Kit Qty])</f>
        <v>0</v>
      </c>
      <c r="H5" s="8">
        <f>SUMIF(SKU[Commission Code], Rate[[#This Row],[SAP Code]], SKU[Ship Qty])</f>
        <v>0</v>
      </c>
      <c r="I5" s="7">
        <f>SUM(Rate[[#This Row],[Orders]:[Commissioned]])</f>
        <v>0</v>
      </c>
      <c r="J5" s="20">
        <f>Rate[[#This Row],[Rate]]*Rate[[#This Row],[Qty]]</f>
        <v>0</v>
      </c>
      <c r="K5" t="str">
        <f>IF(ISNA(MATCH(Rate[[#This Row],[SAP Code]], Summary!A:A, 0)), _xlfn.CONCAT("Missing ", Rate[[#This Row],[SAP Code]], " in summary"), "")</f>
        <v/>
      </c>
    </row>
    <row r="6" spans="1:11" x14ac:dyDescent="0.25">
      <c r="A6">
        <v>4002239</v>
      </c>
      <c r="B6" t="s">
        <v>171</v>
      </c>
      <c r="C6" s="19">
        <v>2.48</v>
      </c>
      <c r="D6" s="8">
        <f>SUMIF(Type[Ship Code], Rate[[#This Row],[SAP Code]], Type[Ship Qty])</f>
        <v>0</v>
      </c>
      <c r="E6" s="8">
        <f>SUMIF(Type[Box Code], Rate[[#This Row],[SAP Code]], Type[Box Qty])</f>
        <v>0</v>
      </c>
      <c r="F6" s="8">
        <f>SUMIF(SKU[Ship Code], Rate[[#This Row],[SAP Code]], SKU[Ship Qty])</f>
        <v>189</v>
      </c>
      <c r="G6" s="8">
        <f>SUMIF(SKU[Kit Code], Rate[[#This Row],[SAP Code]], SKU[Kit Qty])</f>
        <v>0</v>
      </c>
      <c r="H6" s="8">
        <f>SUMIF(SKU[Commission Code], Rate[[#This Row],[SAP Code]], SKU[Ship Qty])</f>
        <v>0</v>
      </c>
      <c r="I6" s="7">
        <f>SUM(Rate[[#This Row],[Orders]:[Commissioned]])</f>
        <v>189</v>
      </c>
      <c r="J6" s="20">
        <f>Rate[[#This Row],[Rate]]*Rate[[#This Row],[Qty]]</f>
        <v>468.71999999999997</v>
      </c>
      <c r="K6" t="str">
        <f>IF(ISNA(MATCH(Rate[[#This Row],[SAP Code]], Summary!A:A, 0)), _xlfn.CONCAT("Missing ", Rate[[#This Row],[SAP Code]], " in summary"), "")</f>
        <v/>
      </c>
    </row>
    <row r="7" spans="1:11" x14ac:dyDescent="0.25">
      <c r="A7">
        <v>4002240</v>
      </c>
      <c r="B7" t="s">
        <v>189</v>
      </c>
      <c r="C7" s="19">
        <v>1.89</v>
      </c>
      <c r="D7" s="8">
        <f>SUMIF(Type[Ship Code], Rate[[#This Row],[SAP Code]], Type[Ship Qty])</f>
        <v>0</v>
      </c>
      <c r="E7" s="8">
        <f>SUMIF(Type[Box Code], Rate[[#This Row],[SAP Code]], Type[Box Qty])</f>
        <v>0</v>
      </c>
      <c r="F7" s="8">
        <f>SUMIF(SKU[Ship Code], Rate[[#This Row],[SAP Code]], SKU[Ship Qty])</f>
        <v>0</v>
      </c>
      <c r="G7" s="8">
        <f>SUMIF(SKU[Kit Code], Rate[[#This Row],[SAP Code]], SKU[Kit Qty])</f>
        <v>157</v>
      </c>
      <c r="H7" s="8">
        <f>SUMIF(SKU[Commission Code], Rate[[#This Row],[SAP Code]], SKU[Ship Qty])</f>
        <v>0</v>
      </c>
      <c r="I7" s="7">
        <f>SUM(Rate[[#This Row],[Orders]:[Commissioned]])</f>
        <v>157</v>
      </c>
      <c r="J7" s="20">
        <f>Rate[[#This Row],[Rate]]*Rate[[#This Row],[Qty]]</f>
        <v>296.72999999999996</v>
      </c>
      <c r="K7" t="str">
        <f>IF(ISNA(MATCH(Rate[[#This Row],[SAP Code]], Summary!A:A, 0)), _xlfn.CONCAT("Missing ", Rate[[#This Row],[SAP Code]], " in summary"), "")</f>
        <v/>
      </c>
    </row>
    <row r="8" spans="1:11" x14ac:dyDescent="0.25">
      <c r="A8">
        <v>4002242</v>
      </c>
      <c r="B8" t="s">
        <v>173</v>
      </c>
      <c r="C8" s="19">
        <v>10.99</v>
      </c>
      <c r="D8" s="8">
        <f>SUMIF(Type[Ship Code], Rate[[#This Row],[SAP Code]], Type[Ship Qty])</f>
        <v>0</v>
      </c>
      <c r="E8" s="8">
        <f>SUMIF(Type[Box Code], Rate[[#This Row],[SAP Code]], Type[Box Qty])</f>
        <v>0</v>
      </c>
      <c r="F8" s="8">
        <f>SUMIF(SKU[Ship Code], Rate[[#This Row],[SAP Code]], SKU[Ship Qty])</f>
        <v>0</v>
      </c>
      <c r="G8" s="8">
        <f>SUMIF(SKU[Kit Code], Rate[[#This Row],[SAP Code]], SKU[Kit Qty])</f>
        <v>0</v>
      </c>
      <c r="H8" s="8">
        <f>SUMIF(SKU[Commission Code], Rate[[#This Row],[SAP Code]], SKU[Ship Qty])</f>
        <v>2</v>
      </c>
      <c r="I8" s="7">
        <f>SUM(Rate[[#This Row],[Orders]:[Commissioned]])</f>
        <v>2</v>
      </c>
      <c r="J8" s="20">
        <f>Rate[[#This Row],[Rate]]*Rate[[#This Row],[Qty]]</f>
        <v>21.98</v>
      </c>
      <c r="K8" t="str">
        <f>IF(ISNA(MATCH(Rate[[#This Row],[SAP Code]], Summary!A:A, 0)), _xlfn.CONCAT("Missing ", Rate[[#This Row],[SAP Code]], " in summary"), "")</f>
        <v/>
      </c>
    </row>
    <row r="9" spans="1:11" x14ac:dyDescent="0.25">
      <c r="A9">
        <v>4002243</v>
      </c>
      <c r="B9" t="s">
        <v>174</v>
      </c>
      <c r="C9" s="19">
        <v>2.95</v>
      </c>
      <c r="D9" s="8">
        <f>SUMIF(Type[Ship Code], Rate[[#This Row],[SAP Code]], Type[Ship Qty])</f>
        <v>0</v>
      </c>
      <c r="E9" s="8">
        <f>SUMIF(Type[Box Code], Rate[[#This Row],[SAP Code]], Type[Box Qty])</f>
        <v>0</v>
      </c>
      <c r="F9" s="8">
        <f>SUMIF(SKU[Ship Code], Rate[[#This Row],[SAP Code]], SKU[Ship Qty])</f>
        <v>0</v>
      </c>
      <c r="G9" s="8">
        <f>SUMIF(SKU[Kit Code], Rate[[#This Row],[SAP Code]], SKU[Kit Qty])</f>
        <v>0</v>
      </c>
      <c r="H9" s="8">
        <f>SUMIF(SKU[Commission Code], Rate[[#This Row],[SAP Code]], SKU[Ship Qty])</f>
        <v>38</v>
      </c>
      <c r="I9" s="7">
        <f>SUM(Rate[[#This Row],[Orders]:[Commissioned]])</f>
        <v>38</v>
      </c>
      <c r="J9" s="20">
        <f>Rate[[#This Row],[Rate]]*Rate[[#This Row],[Qty]]</f>
        <v>112.10000000000001</v>
      </c>
      <c r="K9" t="str">
        <f>IF(ISNA(MATCH(Rate[[#This Row],[SAP Code]], Summary!A:A, 0)), _xlfn.CONCAT("Missing ", Rate[[#This Row],[SAP Code]], " in summary"), "")</f>
        <v/>
      </c>
    </row>
    <row r="10" spans="1:11" x14ac:dyDescent="0.25">
      <c r="A10">
        <v>4002244</v>
      </c>
      <c r="B10" t="s">
        <v>175</v>
      </c>
      <c r="C10" s="19">
        <v>5.57</v>
      </c>
      <c r="D10" s="8">
        <f>SUMIF(Type[Ship Code], Rate[[#This Row],[SAP Code]], Type[Ship Qty])</f>
        <v>0</v>
      </c>
      <c r="E10" s="8">
        <f>SUMIF(Type[Box Code], Rate[[#This Row],[SAP Code]], Type[Box Qty])</f>
        <v>0</v>
      </c>
      <c r="F10" s="8">
        <f>SUMIF(SKU[Ship Code], Rate[[#This Row],[SAP Code]], SKU[Ship Qty])</f>
        <v>0</v>
      </c>
      <c r="G10" s="8">
        <f>SUMIF(SKU[Kit Code], Rate[[#This Row],[SAP Code]], SKU[Kit Qty])</f>
        <v>0</v>
      </c>
      <c r="H10" s="8">
        <f>SUMIF(SKU[Commission Code], Rate[[#This Row],[SAP Code]], SKU[Ship Qty])</f>
        <v>0</v>
      </c>
      <c r="I10" s="7">
        <f>SUM(Rate[[#This Row],[Orders]:[Commissioned]])</f>
        <v>0</v>
      </c>
      <c r="J10" s="20">
        <f>Rate[[#This Row],[Rate]]*Rate[[#This Row],[Qty]]</f>
        <v>0</v>
      </c>
      <c r="K10" t="str">
        <f>IF(ISNA(MATCH(Rate[[#This Row],[SAP Code]], Summary!A:A, 0)), _xlfn.CONCAT("Missing ", Rate[[#This Row],[SAP Code]], " in summary"), "")</f>
        <v/>
      </c>
    </row>
    <row r="11" spans="1:11" x14ac:dyDescent="0.25">
      <c r="A11">
        <v>4002276</v>
      </c>
      <c r="B11" t="s">
        <v>176</v>
      </c>
      <c r="C11" s="19">
        <v>14.67</v>
      </c>
      <c r="D11" s="8">
        <f>SUMIF(Type[Ship Code], Rate[[#This Row],[SAP Code]], Type[Ship Qty])</f>
        <v>0</v>
      </c>
      <c r="E11" s="8">
        <f>SUMIF(Type[Box Code], Rate[[#This Row],[SAP Code]], Type[Box Qty])</f>
        <v>0</v>
      </c>
      <c r="F11" s="8">
        <f>SUMIF(SKU[Ship Code], Rate[[#This Row],[SAP Code]], SKU[Ship Qty])</f>
        <v>0</v>
      </c>
      <c r="G11" s="8">
        <f>SUMIF(SKU[Kit Code], Rate[[#This Row],[SAP Code]], SKU[Kit Qty])</f>
        <v>0</v>
      </c>
      <c r="H11" s="8">
        <f>SUMIF(SKU[Commission Code], Rate[[#This Row],[SAP Code]], SKU[Ship Qty])</f>
        <v>0</v>
      </c>
      <c r="I11" s="7">
        <f>SUM(Rate[[#This Row],[Orders]:[Commissioned]])</f>
        <v>0</v>
      </c>
      <c r="J11" s="20">
        <f>Rate[[#This Row],[Rate]]*Rate[[#This Row],[Qty]]</f>
        <v>0</v>
      </c>
      <c r="K11" t="str">
        <f>IF(ISNA(MATCH(Rate[[#This Row],[SAP Code]], Summary!A:A, 0)), _xlfn.CONCAT("Missing ", Rate[[#This Row],[SAP Code]], " in summary"), "")</f>
        <v/>
      </c>
    </row>
    <row r="12" spans="1:11" x14ac:dyDescent="0.25">
      <c r="A12">
        <v>4002277</v>
      </c>
      <c r="B12" t="s">
        <v>177</v>
      </c>
      <c r="C12" s="19">
        <v>13.89</v>
      </c>
      <c r="D12" s="8">
        <f>SUMIF(Type[Ship Code], Rate[[#This Row],[SAP Code]], Type[Ship Qty])</f>
        <v>0</v>
      </c>
      <c r="E12" s="8">
        <f>SUMIF(Type[Box Code], Rate[[#This Row],[SAP Code]], Type[Box Qty])</f>
        <v>0</v>
      </c>
      <c r="F12" s="8">
        <f>SUMIF(SKU[Ship Code], Rate[[#This Row],[SAP Code]], SKU[Ship Qty])</f>
        <v>0</v>
      </c>
      <c r="G12" s="8">
        <f>SUMIF(SKU[Kit Code], Rate[[#This Row],[SAP Code]], SKU[Kit Qty])</f>
        <v>0</v>
      </c>
      <c r="H12" s="8">
        <f>SUMIF(SKU[Commission Code], Rate[[#This Row],[SAP Code]], SKU[Ship Qty])</f>
        <v>0</v>
      </c>
      <c r="I12" s="7">
        <f>SUM(Rate[[#This Row],[Orders]:[Commissioned]])</f>
        <v>0</v>
      </c>
      <c r="J12" s="20">
        <f>Rate[[#This Row],[Rate]]*Rate[[#This Row],[Qty]]</f>
        <v>0</v>
      </c>
      <c r="K12" t="str">
        <f>IF(ISNA(MATCH(Rate[[#This Row],[SAP Code]], Summary!A:A, 0)), _xlfn.CONCAT("Missing ", Rate[[#This Row],[SAP Code]], " in summary"), "")</f>
        <v/>
      </c>
    </row>
    <row r="13" spans="1:11" x14ac:dyDescent="0.25">
      <c r="A13" t="s">
        <v>33</v>
      </c>
      <c r="B13" t="s">
        <v>178</v>
      </c>
      <c r="C13" s="19">
        <v>1</v>
      </c>
      <c r="D13" s="8">
        <f>SUMIF(Type[Ship Code], Rate[[#This Row],[SAP Code]], Type[Ship Qty])</f>
        <v>0</v>
      </c>
      <c r="E13" s="8">
        <f>SUMIF(Type[Box Code], Rate[[#This Row],[SAP Code]], Type[Box Qty])</f>
        <v>0</v>
      </c>
      <c r="F13" s="8">
        <f>SUMIF(SKU[Ship Code], Rate[[#This Row],[SAP Code]], SKU[Ship Qty])</f>
        <v>0</v>
      </c>
      <c r="G13" s="8">
        <f>SUMIF(SKU[Kit Code], Rate[[#This Row],[SAP Code]], SKU[Kit Qty])</f>
        <v>0</v>
      </c>
      <c r="H13" s="8">
        <f>SUMIF(SKU[Commission Code], Rate[[#This Row],[SAP Code]], SKU[Ship Qty])</f>
        <v>0</v>
      </c>
      <c r="I13" s="7">
        <f>SUM(Rate[[#This Row],[Orders]:[Commissioned]])</f>
        <v>0</v>
      </c>
      <c r="J13" s="20">
        <f>Rate[[#This Row],[Rate]]*Rate[[#This Row],[Qty]]</f>
        <v>0</v>
      </c>
      <c r="K13" t="str">
        <f>IF(ISNA(MATCH(Rate[[#This Row],[SAP Code]], Summary!A:A, 0)), _xlfn.CONCAT("Missing ", Rate[[#This Row],[SAP Code]], " in summary"), "")</f>
        <v/>
      </c>
    </row>
    <row r="14" spans="1:11" x14ac:dyDescent="0.25">
      <c r="A14" t="s">
        <v>32</v>
      </c>
      <c r="B14" t="s">
        <v>166</v>
      </c>
      <c r="C14" s="19">
        <v>1</v>
      </c>
      <c r="D14" s="8">
        <f>SUMIF(Type[Ship Code], Rate[[#This Row],[SAP Code]], Type[Ship Qty])</f>
        <v>0</v>
      </c>
      <c r="E14" s="8">
        <f>SUMIF(Type[Box Code], Rate[[#This Row],[SAP Code]], Type[Box Qty])</f>
        <v>0</v>
      </c>
      <c r="F14" s="8">
        <f>SUMIF(SKU[Ship Code], Rate[[#This Row],[SAP Code]], SKU[Ship Qty])</f>
        <v>0</v>
      </c>
      <c r="G14" s="8">
        <f>SUMIF(SKU[Kit Code], Rate[[#This Row],[SAP Code]], SKU[Kit Qty])</f>
        <v>0</v>
      </c>
      <c r="H14" s="8">
        <f>SUMIF(SKU[Commission Code], Rate[[#This Row],[SAP Code]], SKU[Ship Qty])</f>
        <v>0</v>
      </c>
      <c r="I14" s="7">
        <f>SUM(Rate[[#This Row],[Orders]:[Commissioned]])</f>
        <v>0</v>
      </c>
      <c r="J14" s="20">
        <f>Rate[[#This Row],[Rate]]*Rate[[#This Row],[Qty]]</f>
        <v>0</v>
      </c>
      <c r="K14" t="str">
        <f>IF(ISNA(MATCH(Rate[[#This Row],[SAP Code]], Summary!A:A, 0)), _xlfn.CONCAT("Missing ", Rate[[#This Row],[SAP Code]], " in summary"), "")</f>
        <v/>
      </c>
    </row>
    <row r="15" spans="1:11" x14ac:dyDescent="0.25">
      <c r="A15" t="s">
        <v>30</v>
      </c>
      <c r="B15" t="s">
        <v>31</v>
      </c>
      <c r="C15" s="19">
        <v>6.2</v>
      </c>
      <c r="D15" s="8">
        <f>SUMIF(Type[Ship Code], Rate[[#This Row],[SAP Code]], Type[Ship Qty])</f>
        <v>0</v>
      </c>
      <c r="E15" s="8">
        <f>SUMIF(Type[Box Code], Rate[[#This Row],[SAP Code]], Type[Box Qty])</f>
        <v>0</v>
      </c>
      <c r="F15" s="8">
        <f>SUMIF(SKU[Ship Code], Rate[[#This Row],[SAP Code]], SKU[Ship Qty])</f>
        <v>0</v>
      </c>
      <c r="G15" s="8">
        <f>SUMIF(SKU[Kit Code], Rate[[#This Row],[SAP Code]], SKU[Kit Qty])</f>
        <v>0</v>
      </c>
      <c r="H15" s="8">
        <f>SUMIF(SKU[Commission Code], Rate[[#This Row],[SAP Code]], SKU[Ship Qty])</f>
        <v>0</v>
      </c>
      <c r="I15" s="7">
        <f>SUM(Rate[[#This Row],[Orders]:[Commissioned]])</f>
        <v>0</v>
      </c>
      <c r="J15" s="20">
        <f>Rate[[#This Row],[Rate]]*Rate[[#This Row],[Qty]]</f>
        <v>0</v>
      </c>
      <c r="K15" t="str">
        <f>IF(ISNA(MATCH(Rate[[#This Row],[SAP Code]], Summary!A:A, 0)), _xlfn.CONCAT("Missing ", Rate[[#This Row],[SAP Code]], " in summary"), "")</f>
        <v/>
      </c>
    </row>
    <row r="16" spans="1:11" x14ac:dyDescent="0.25">
      <c r="A16" s="38" t="s">
        <v>226</v>
      </c>
      <c r="B16" s="38" t="s">
        <v>227</v>
      </c>
      <c r="C16" s="42">
        <v>1</v>
      </c>
      <c r="D16" s="43">
        <f>SUMIF(Type[Ship Code], Rate[[#This Row],[SAP Code]], Type[Ship Qty])</f>
        <v>0</v>
      </c>
      <c r="E16" s="44">
        <f>SUMIF(Type[Box Code], Rate[[#This Row],[SAP Code]], Type[Box Qty])</f>
        <v>0</v>
      </c>
      <c r="F16" s="43">
        <f>SUMIF(SKU[Ship Code], Rate[[#This Row],[SAP Code]], SKU[Ship Qty])</f>
        <v>0</v>
      </c>
      <c r="G16" s="43">
        <f>SUMIF(SKU[Kit Code], Rate[[#This Row],[SAP Code]], SKU[Kit Qty])</f>
        <v>0</v>
      </c>
      <c r="H16" s="43">
        <f>SUMIF(SKU[Commission Code], Rate[[#This Row],[SAP Code]], SKU[Ship Qty])</f>
        <v>0</v>
      </c>
      <c r="I16" s="45">
        <f>SUM(Rate[[#This Row],[Orders]:[Commissioned]])</f>
        <v>0</v>
      </c>
      <c r="J16" s="41">
        <f>Rate[[#This Row],[Rate]]*Rate[[#This Row],[Qty]]</f>
        <v>0</v>
      </c>
      <c r="K16" s="46" t="str">
        <f>IF(ISNA(MATCH(Rate[[#This Row],[SAP Code]], Summary!A:A, 0)), _xlfn.CONCAT("Missing ", Rate[[#This Row],[SAP Code]], " in summary"), "")</f>
        <v/>
      </c>
    </row>
    <row r="18" spans="9:10" x14ac:dyDescent="0.25">
      <c r="I18" s="11" t="s">
        <v>140</v>
      </c>
      <c r="J18" s="20">
        <f>SUM(Rate[Cost])</f>
        <v>959.92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771A-8952-4C52-ACD1-201BD85BA3EF}">
  <sheetPr codeName="Sheet4">
    <tabColor theme="2" tint="-0.499984740745262"/>
  </sheetPr>
  <dimension ref="A1:M83"/>
  <sheetViews>
    <sheetView topLeftCell="A41" workbookViewId="0">
      <selection activeCell="I84" sqref="I84"/>
    </sheetView>
  </sheetViews>
  <sheetFormatPr defaultRowHeight="15" x14ac:dyDescent="0.25"/>
  <cols>
    <col min="1" max="1" width="29" customWidth="1"/>
    <col min="2" max="2" width="49.5703125" bestFit="1" customWidth="1"/>
    <col min="3" max="3" width="12.140625" bestFit="1" customWidth="1"/>
    <col min="4" max="4" width="10.7109375" bestFit="1" customWidth="1"/>
    <col min="5" max="5" width="11.85546875" customWidth="1"/>
    <col min="6" max="6" width="10.7109375" bestFit="1" customWidth="1"/>
    <col min="7" max="7" width="7.42578125" customWidth="1"/>
    <col min="8" max="9" width="11.140625" customWidth="1"/>
    <col min="10" max="10" width="19.28515625" bestFit="1" customWidth="1"/>
    <col min="11" max="11" width="19.28515625" customWidth="1"/>
    <col min="12" max="12" width="11.85546875" bestFit="1" customWidth="1"/>
    <col min="13" max="13" width="32.7109375" customWidth="1"/>
  </cols>
  <sheetData>
    <row r="1" spans="1:13" x14ac:dyDescent="0.25">
      <c r="A1" t="s">
        <v>0</v>
      </c>
      <c r="B1" t="s">
        <v>34</v>
      </c>
      <c r="C1" t="s">
        <v>35</v>
      </c>
      <c r="D1" t="s">
        <v>36</v>
      </c>
      <c r="E1" t="s">
        <v>137</v>
      </c>
      <c r="F1" t="s">
        <v>37</v>
      </c>
      <c r="G1" t="s">
        <v>38</v>
      </c>
      <c r="H1" t="s">
        <v>155</v>
      </c>
      <c r="I1" t="s">
        <v>138</v>
      </c>
      <c r="J1" t="s">
        <v>39</v>
      </c>
      <c r="K1" t="s">
        <v>139</v>
      </c>
      <c r="L1" t="s">
        <v>140</v>
      </c>
      <c r="M1" t="s">
        <v>2</v>
      </c>
    </row>
    <row r="2" spans="1:13" x14ac:dyDescent="0.25">
      <c r="A2" t="s">
        <v>27</v>
      </c>
      <c r="B2" t="s">
        <v>180</v>
      </c>
      <c r="C2" s="35"/>
      <c r="D2" s="4">
        <f>SUMIF(Ship_SKU[SKU], SKU[[#This Row],[SKU]], Ship_SKU[Qty])</f>
        <v>11</v>
      </c>
      <c r="E2" s="5">
        <f>IF(SKU[[#This Row],[Ship Code]]="", 0, VLOOKUP(SKU[[#This Row],[Ship Code]], Rate[], 3, FALSE)*SKU[[#This Row],[Ship Qty]])</f>
        <v>0</v>
      </c>
      <c r="F2" s="1"/>
      <c r="G2" s="2"/>
      <c r="H2" s="4">
        <f>SKU[[#This Row],[Ship Qty]]*SKU[[#This Row],[Kit Items]]</f>
        <v>0</v>
      </c>
      <c r="I2" s="5">
        <f>IF(SKU[[#This Row],[Kit Code]]="", 0, VLOOKUP(SKU[[#This Row],[Kit Code]], Rate[], 3, FALSE)*SKU[[#This Row],[Kit Qty]])</f>
        <v>0</v>
      </c>
      <c r="J2" s="1"/>
      <c r="K2" s="6">
        <f>IF(SKU[[#This Row],[Commission Code]]="", 0, VLOOKUP(SKU[[#This Row],[Commission Code]], Rate[], 3, FALSE)*SKU[[#This Row],[Ship Qty]])</f>
        <v>0</v>
      </c>
      <c r="L2" s="10">
        <f>SKU[[#This Row],[Ship Cost]]+SKU[[#This Row],[Kit Cost]]+SKU[[#This Row],[Comission Cost]]</f>
        <v>0</v>
      </c>
      <c r="M2" t="str">
        <f>IF(OR(ISNA(SKU[[#This Row],[Ship Cost]]), ISNA(SKU[[#This Row],[Kit Cost]]), ISNA(SKU[[#This Row],[Comission Cost]])), "Error Accessing SAP Rate", "")</f>
        <v/>
      </c>
    </row>
    <row r="3" spans="1:13" x14ac:dyDescent="0.25">
      <c r="A3" t="s">
        <v>3</v>
      </c>
      <c r="B3" t="s">
        <v>179</v>
      </c>
      <c r="C3" s="1">
        <v>4002239</v>
      </c>
      <c r="D3" s="4">
        <f>SUMIF(Ship_SKU[SKU], SKU[[#This Row],[SKU]], Ship_SKU[Qty])</f>
        <v>0</v>
      </c>
      <c r="E3" s="5">
        <f>IF(SKU[[#This Row],[Ship Code]]="", 0, VLOOKUP(SKU[[#This Row],[Ship Code]], Rate[], 3, FALSE)*SKU[[#This Row],[Ship Qty]])</f>
        <v>0</v>
      </c>
      <c r="F3" s="1"/>
      <c r="G3" s="2"/>
      <c r="H3" s="4">
        <f>SKU[[#This Row],[Ship Qty]]*SKU[[#This Row],[Kit Items]]</f>
        <v>0</v>
      </c>
      <c r="I3" s="5">
        <f>IF(SKU[[#This Row],[Kit Code]]="", 0, VLOOKUP(SKU[[#This Row],[Kit Code]], Rate[], 3, FALSE)*SKU[[#This Row],[Kit Qty]])</f>
        <v>0</v>
      </c>
      <c r="J3" s="1"/>
      <c r="K3" s="6">
        <f>IF(SKU[[#This Row],[Commission Code]]="", 0, VLOOKUP(SKU[[#This Row],[Commission Code]], Rate[], 3, FALSE)*SKU[[#This Row],[Ship Qty]])</f>
        <v>0</v>
      </c>
      <c r="L3" s="10">
        <f>SKU[[#This Row],[Ship Cost]]+SKU[[#This Row],[Kit Cost]]+SKU[[#This Row],[Comission Cost]]</f>
        <v>0</v>
      </c>
      <c r="M3" t="str">
        <f>IF(OR(ISNA(SKU[[#This Row],[Ship Cost]]), ISNA(SKU[[#This Row],[Kit Cost]]), ISNA(SKU[[#This Row],[Comission Cost]])), "Error Accessing SAP Rate", "")</f>
        <v/>
      </c>
    </row>
    <row r="4" spans="1:13" x14ac:dyDescent="0.25">
      <c r="A4" t="s">
        <v>40</v>
      </c>
      <c r="B4" t="s">
        <v>41</v>
      </c>
      <c r="C4" s="1">
        <v>4002239</v>
      </c>
      <c r="D4" s="4">
        <f>SUMIF(Ship_SKU[SKU], SKU[[#This Row],[SKU]], Ship_SKU[Qty])</f>
        <v>0</v>
      </c>
      <c r="E4" s="5">
        <f>IF(SKU[[#This Row],[Ship Code]]="", 0, VLOOKUP(SKU[[#This Row],[Ship Code]], Rate[], 3, FALSE)*SKU[[#This Row],[Ship Qty]])</f>
        <v>0</v>
      </c>
      <c r="F4" s="1">
        <v>4002240</v>
      </c>
      <c r="G4" s="2">
        <v>1</v>
      </c>
      <c r="H4" s="4">
        <f>SKU[[#This Row],[Ship Qty]]*SKU[[#This Row],[Kit Items]]</f>
        <v>0</v>
      </c>
      <c r="I4" s="5">
        <f>IF(SKU[[#This Row],[Kit Code]]="", 0, VLOOKUP(SKU[[#This Row],[Kit Code]], Rate[], 3, FALSE)*SKU[[#This Row],[Kit Qty]])</f>
        <v>0</v>
      </c>
      <c r="J4" s="2"/>
      <c r="K4" s="6">
        <f>IF(SKU[[#This Row],[Commission Code]]="", 0, VLOOKUP(SKU[[#This Row],[Commission Code]], Rate[], 3, FALSE)*SKU[[#This Row],[Ship Qty]])</f>
        <v>0</v>
      </c>
      <c r="L4" s="10">
        <f>SKU[[#This Row],[Ship Cost]]+SKU[[#This Row],[Kit Cost]]+SKU[[#This Row],[Comission Cost]]</f>
        <v>0</v>
      </c>
      <c r="M4" t="str">
        <f>IF(OR(ISNA(SKU[[#This Row],[Ship Cost]]), ISNA(SKU[[#This Row],[Kit Cost]]), ISNA(SKU[[#This Row],[Comission Cost]])), "Error Accessing SAP Rate", "")</f>
        <v/>
      </c>
    </row>
    <row r="5" spans="1:13" x14ac:dyDescent="0.25">
      <c r="A5" t="s">
        <v>42</v>
      </c>
      <c r="B5" t="s">
        <v>43</v>
      </c>
      <c r="C5" s="1">
        <v>4002239</v>
      </c>
      <c r="D5" s="4">
        <f>SUMIF(Ship_SKU[SKU], SKU[[#This Row],[SKU]], Ship_SKU[Qty])</f>
        <v>0</v>
      </c>
      <c r="E5" s="5">
        <f>IF(SKU[[#This Row],[Ship Code]]="", 0, VLOOKUP(SKU[[#This Row],[Ship Code]], Rate[], 3, FALSE)*SKU[[#This Row],[Ship Qty]])</f>
        <v>0</v>
      </c>
      <c r="F5" s="1">
        <v>4002240</v>
      </c>
      <c r="G5" s="2">
        <v>1</v>
      </c>
      <c r="H5" s="4">
        <f>SKU[[#This Row],[Ship Qty]]*SKU[[#This Row],[Kit Items]]</f>
        <v>0</v>
      </c>
      <c r="I5" s="5">
        <f>IF(SKU[[#This Row],[Kit Code]]="", 0, VLOOKUP(SKU[[#This Row],[Kit Code]], Rate[], 3, FALSE)*SKU[[#This Row],[Kit Qty]])</f>
        <v>0</v>
      </c>
      <c r="J5" s="2"/>
      <c r="K5" s="6">
        <f>IF(SKU[[#This Row],[Commission Code]]="", 0, VLOOKUP(SKU[[#This Row],[Commission Code]], Rate[], 3, FALSE)*SKU[[#This Row],[Ship Qty]])</f>
        <v>0</v>
      </c>
      <c r="L5" s="10">
        <f>SKU[[#This Row],[Ship Cost]]+SKU[[#This Row],[Kit Cost]]+SKU[[#This Row],[Comission Cost]]</f>
        <v>0</v>
      </c>
      <c r="M5" t="str">
        <f>IF(OR(ISNA(SKU[[#This Row],[Ship Cost]]), ISNA(SKU[[#This Row],[Kit Cost]]), ISNA(SKU[[#This Row],[Comission Cost]])), "Error Accessing SAP Rate", "")</f>
        <v/>
      </c>
    </row>
    <row r="6" spans="1:13" x14ac:dyDescent="0.25">
      <c r="A6" t="s">
        <v>44</v>
      </c>
      <c r="B6" t="s">
        <v>45</v>
      </c>
      <c r="C6" s="1">
        <v>4002239</v>
      </c>
      <c r="D6" s="4">
        <f>SUMIF(Ship_SKU[SKU], SKU[[#This Row],[SKU]], Ship_SKU[Qty])</f>
        <v>0</v>
      </c>
      <c r="E6" s="5">
        <f>IF(SKU[[#This Row],[Ship Code]]="", 0, VLOOKUP(SKU[[#This Row],[Ship Code]], Rate[], 3, FALSE)*SKU[[#This Row],[Ship Qty]])</f>
        <v>0</v>
      </c>
      <c r="F6" s="1">
        <v>4002240</v>
      </c>
      <c r="G6" s="2">
        <v>1</v>
      </c>
      <c r="H6" s="4">
        <f>SKU[[#This Row],[Ship Qty]]*SKU[[#This Row],[Kit Items]]</f>
        <v>0</v>
      </c>
      <c r="I6" s="5">
        <f>IF(SKU[[#This Row],[Kit Code]]="", 0, VLOOKUP(SKU[[#This Row],[Kit Code]], Rate[], 3, FALSE)*SKU[[#This Row],[Kit Qty]])</f>
        <v>0</v>
      </c>
      <c r="J6" s="2"/>
      <c r="K6" s="6">
        <f>IF(SKU[[#This Row],[Commission Code]]="", 0, VLOOKUP(SKU[[#This Row],[Commission Code]], Rate[], 3, FALSE)*SKU[[#This Row],[Ship Qty]])</f>
        <v>0</v>
      </c>
      <c r="L6" s="10">
        <f>SKU[[#This Row],[Ship Cost]]+SKU[[#This Row],[Kit Cost]]+SKU[[#This Row],[Comission Cost]]</f>
        <v>0</v>
      </c>
      <c r="M6" t="str">
        <f>IF(OR(ISNA(SKU[[#This Row],[Ship Cost]]), ISNA(SKU[[#This Row],[Kit Cost]]), ISNA(SKU[[#This Row],[Comission Cost]])), "Error Accessing SAP Rate", "")</f>
        <v/>
      </c>
    </row>
    <row r="7" spans="1:13" x14ac:dyDescent="0.25">
      <c r="A7" t="s">
        <v>4</v>
      </c>
      <c r="B7" t="s">
        <v>5</v>
      </c>
      <c r="C7" s="1">
        <v>4002239</v>
      </c>
      <c r="D7" s="4">
        <f>SUMIF(Ship_SKU[SKU], SKU[[#This Row],[SKU]], Ship_SKU[Qty])</f>
        <v>0</v>
      </c>
      <c r="E7" s="5">
        <f>IF(SKU[[#This Row],[Ship Code]]="", 0, VLOOKUP(SKU[[#This Row],[Ship Code]], Rate[], 3, FALSE)*SKU[[#This Row],[Ship Qty]])</f>
        <v>0</v>
      </c>
      <c r="F7" s="1">
        <v>4002240</v>
      </c>
      <c r="G7" s="2">
        <v>7</v>
      </c>
      <c r="H7" s="4">
        <f>SKU[[#This Row],[Ship Qty]]*SKU[[#This Row],[Kit Items]]</f>
        <v>0</v>
      </c>
      <c r="I7" s="5">
        <f>IF(SKU[[#This Row],[Kit Code]]="", 0, VLOOKUP(SKU[[#This Row],[Kit Code]], Rate[], 3, FALSE)*SKU[[#This Row],[Kit Qty]])</f>
        <v>0</v>
      </c>
      <c r="J7" s="2">
        <v>4002276</v>
      </c>
      <c r="K7" s="6">
        <f>IF(SKU[[#This Row],[Commission Code]]="", 0, VLOOKUP(SKU[[#This Row],[Commission Code]], Rate[], 3, FALSE)*SKU[[#This Row],[Ship Qty]])</f>
        <v>0</v>
      </c>
      <c r="L7" s="10">
        <f>SKU[[#This Row],[Ship Cost]]+SKU[[#This Row],[Kit Cost]]+SKU[[#This Row],[Comission Cost]]</f>
        <v>0</v>
      </c>
      <c r="M7" t="str">
        <f>IF(OR(ISNA(SKU[[#This Row],[Ship Cost]]), ISNA(SKU[[#This Row],[Kit Cost]]), ISNA(SKU[[#This Row],[Comission Cost]])), "Error Accessing SAP Rate", "")</f>
        <v/>
      </c>
    </row>
    <row r="8" spans="1:13" x14ac:dyDescent="0.25">
      <c r="A8" t="s">
        <v>46</v>
      </c>
      <c r="B8" t="s">
        <v>47</v>
      </c>
      <c r="C8" s="1">
        <v>4002239</v>
      </c>
      <c r="D8" s="4">
        <f>SUMIF(Ship_SKU[SKU], SKU[[#This Row],[SKU]], Ship_SKU[Qty])</f>
        <v>0</v>
      </c>
      <c r="E8" s="5">
        <f>IF(SKU[[#This Row],[Ship Code]]="", 0, VLOOKUP(SKU[[#This Row],[Ship Code]], Rate[], 3, FALSE)*SKU[[#This Row],[Ship Qty]])</f>
        <v>0</v>
      </c>
      <c r="F8" s="1">
        <v>4002240</v>
      </c>
      <c r="G8" s="2">
        <v>1</v>
      </c>
      <c r="H8" s="4">
        <f>SKU[[#This Row],[Ship Qty]]*SKU[[#This Row],[Kit Items]]</f>
        <v>0</v>
      </c>
      <c r="I8" s="5">
        <f>IF(SKU[[#This Row],[Kit Code]]="", 0, VLOOKUP(SKU[[#This Row],[Kit Code]], Rate[], 3, FALSE)*SKU[[#This Row],[Kit Qty]])</f>
        <v>0</v>
      </c>
      <c r="J8" s="2"/>
      <c r="K8" s="6">
        <f>IF(SKU[[#This Row],[Commission Code]]="", 0, VLOOKUP(SKU[[#This Row],[Commission Code]], Rate[], 3, FALSE)*SKU[[#This Row],[Ship Qty]])</f>
        <v>0</v>
      </c>
      <c r="L8" s="10">
        <f>SKU[[#This Row],[Ship Cost]]+SKU[[#This Row],[Kit Cost]]+SKU[[#This Row],[Comission Cost]]</f>
        <v>0</v>
      </c>
      <c r="M8" t="str">
        <f>IF(OR(ISNA(SKU[[#This Row],[Ship Cost]]), ISNA(SKU[[#This Row],[Kit Cost]]), ISNA(SKU[[#This Row],[Comission Cost]])), "Error Accessing SAP Rate", "")</f>
        <v/>
      </c>
    </row>
    <row r="9" spans="1:13" x14ac:dyDescent="0.25">
      <c r="A9" t="s">
        <v>48</v>
      </c>
      <c r="B9" t="s">
        <v>49</v>
      </c>
      <c r="C9" s="1">
        <v>4002239</v>
      </c>
      <c r="D9" s="4">
        <f>SUMIF(Ship_SKU[SKU], SKU[[#This Row],[SKU]], Ship_SKU[Qty])</f>
        <v>0</v>
      </c>
      <c r="E9" s="5">
        <f>IF(SKU[[#This Row],[Ship Code]]="", 0, VLOOKUP(SKU[[#This Row],[Ship Code]], Rate[], 3, FALSE)*SKU[[#This Row],[Ship Qty]])</f>
        <v>0</v>
      </c>
      <c r="F9" s="1">
        <v>4002240</v>
      </c>
      <c r="G9" s="2">
        <v>1</v>
      </c>
      <c r="H9" s="4">
        <f>SKU[[#This Row],[Ship Qty]]*SKU[[#This Row],[Kit Items]]</f>
        <v>0</v>
      </c>
      <c r="I9" s="5">
        <f>IF(SKU[[#This Row],[Kit Code]]="", 0, VLOOKUP(SKU[[#This Row],[Kit Code]], Rate[], 3, FALSE)*SKU[[#This Row],[Kit Qty]])</f>
        <v>0</v>
      </c>
      <c r="J9" s="2"/>
      <c r="K9" s="6">
        <f>IF(SKU[[#This Row],[Commission Code]]="", 0, VLOOKUP(SKU[[#This Row],[Commission Code]], Rate[], 3, FALSE)*SKU[[#This Row],[Ship Qty]])</f>
        <v>0</v>
      </c>
      <c r="L9" s="10">
        <f>SKU[[#This Row],[Ship Cost]]+SKU[[#This Row],[Kit Cost]]+SKU[[#This Row],[Comission Cost]]</f>
        <v>0</v>
      </c>
      <c r="M9" t="str">
        <f>IF(OR(ISNA(SKU[[#This Row],[Ship Cost]]), ISNA(SKU[[#This Row],[Kit Cost]]), ISNA(SKU[[#This Row],[Comission Cost]])), "Error Accessing SAP Rate", "")</f>
        <v/>
      </c>
    </row>
    <row r="10" spans="1:13" x14ac:dyDescent="0.25">
      <c r="A10" t="s">
        <v>6</v>
      </c>
      <c r="B10" t="s">
        <v>7</v>
      </c>
      <c r="C10" s="1">
        <v>4002239</v>
      </c>
      <c r="D10" s="4">
        <f>SUMIF(Ship_SKU[SKU], SKU[[#This Row],[SKU]], Ship_SKU[Qty])</f>
        <v>0</v>
      </c>
      <c r="E10" s="5">
        <f>IF(SKU[[#This Row],[Ship Code]]="", 0, VLOOKUP(SKU[[#This Row],[Ship Code]], Rate[], 3, FALSE)*SKU[[#This Row],[Ship Qty]])</f>
        <v>0</v>
      </c>
      <c r="F10" s="1">
        <v>4002240</v>
      </c>
      <c r="G10" s="2">
        <v>7</v>
      </c>
      <c r="H10" s="4">
        <f>SKU[[#This Row],[Ship Qty]]*SKU[[#This Row],[Kit Items]]</f>
        <v>0</v>
      </c>
      <c r="I10" s="5">
        <f>IF(SKU[[#This Row],[Kit Code]]="", 0, VLOOKUP(SKU[[#This Row],[Kit Code]], Rate[], 3, FALSE)*SKU[[#This Row],[Kit Qty]])</f>
        <v>0</v>
      </c>
      <c r="J10" s="2">
        <v>4002276</v>
      </c>
      <c r="K10" s="6">
        <f>IF(SKU[[#This Row],[Commission Code]]="", 0, VLOOKUP(SKU[[#This Row],[Commission Code]], Rate[], 3, FALSE)*SKU[[#This Row],[Ship Qty]])</f>
        <v>0</v>
      </c>
      <c r="L10" s="10">
        <f>SKU[[#This Row],[Ship Cost]]+SKU[[#This Row],[Kit Cost]]+SKU[[#This Row],[Comission Cost]]</f>
        <v>0</v>
      </c>
      <c r="M10" t="str">
        <f>IF(OR(ISNA(SKU[[#This Row],[Ship Cost]]), ISNA(SKU[[#This Row],[Kit Cost]]), ISNA(SKU[[#This Row],[Comission Cost]])), "Error Accessing SAP Rate", "")</f>
        <v/>
      </c>
    </row>
    <row r="11" spans="1:13" x14ac:dyDescent="0.25">
      <c r="A11" t="s">
        <v>211</v>
      </c>
      <c r="B11" t="s">
        <v>52</v>
      </c>
      <c r="C11" s="1">
        <v>4002239</v>
      </c>
      <c r="D11" s="4">
        <f>SUMIF(Ship_SKU[SKU], SKU[[#This Row],[SKU]], Ship_SKU[Qty])</f>
        <v>0</v>
      </c>
      <c r="E11" s="5">
        <f>IF(SKU[[#This Row],[Ship Code]]="", 0, VLOOKUP(SKU[[#This Row],[Ship Code]], Rate[], 3, FALSE)*SKU[[#This Row],[Ship Qty]])</f>
        <v>0</v>
      </c>
      <c r="F11" s="1">
        <v>4002240</v>
      </c>
      <c r="G11" s="2">
        <v>7</v>
      </c>
      <c r="H11" s="4">
        <f>SKU[[#This Row],[Ship Qty]]*SKU[[#This Row],[Kit Items]]</f>
        <v>0</v>
      </c>
      <c r="I11" s="5">
        <f>IF(SKU[[#This Row],[Kit Code]]="", 0, VLOOKUP(SKU[[#This Row],[Kit Code]], Rate[], 3, FALSE)*SKU[[#This Row],[Kit Qty]])</f>
        <v>0</v>
      </c>
      <c r="J11" s="2">
        <v>4002276</v>
      </c>
      <c r="K11" s="6">
        <f>IF(SKU[[#This Row],[Commission Code]]="", 0, VLOOKUP(SKU[[#This Row],[Commission Code]], Rate[], 3, FALSE)*SKU[[#This Row],[Ship Qty]])</f>
        <v>0</v>
      </c>
      <c r="L11" s="10">
        <f>SKU[[#This Row],[Ship Cost]]+SKU[[#This Row],[Kit Cost]]+SKU[[#This Row],[Comission Cost]]</f>
        <v>0</v>
      </c>
      <c r="M11" t="str">
        <f>IF(OR(ISNA(SKU[[#This Row],[Ship Cost]]), ISNA(SKU[[#This Row],[Kit Cost]]), ISNA(SKU[[#This Row],[Comission Cost]])), "Error Accessing SAP Rate", "")</f>
        <v/>
      </c>
    </row>
    <row r="12" spans="1:13" x14ac:dyDescent="0.25">
      <c r="A12" t="s">
        <v>50</v>
      </c>
      <c r="B12" t="s">
        <v>51</v>
      </c>
      <c r="C12" s="1">
        <v>4002239</v>
      </c>
      <c r="D12" s="4">
        <f>SUMIF(Ship_SKU[SKU], SKU[[#This Row],[SKU]], Ship_SKU[Qty])</f>
        <v>0</v>
      </c>
      <c r="E12" s="5">
        <f>IF(SKU[[#This Row],[Ship Code]]="", 0, VLOOKUP(SKU[[#This Row],[Ship Code]], Rate[], 3, FALSE)*SKU[[#This Row],[Ship Qty]])</f>
        <v>0</v>
      </c>
      <c r="F12" s="1">
        <v>4002240</v>
      </c>
      <c r="G12" s="2">
        <v>7</v>
      </c>
      <c r="H12" s="4">
        <f>SKU[[#This Row],[Ship Qty]]*SKU[[#This Row],[Kit Items]]</f>
        <v>0</v>
      </c>
      <c r="I12" s="5">
        <f>IF(SKU[[#This Row],[Kit Code]]="", 0, VLOOKUP(SKU[[#This Row],[Kit Code]], Rate[], 3, FALSE)*SKU[[#This Row],[Kit Qty]])</f>
        <v>0</v>
      </c>
      <c r="J12" s="2">
        <v>4002276</v>
      </c>
      <c r="K12" s="6">
        <f>IF(SKU[[#This Row],[Commission Code]]="", 0, VLOOKUP(SKU[[#This Row],[Commission Code]], Rate[], 3, FALSE)*SKU[[#This Row],[Ship Qty]])</f>
        <v>0</v>
      </c>
      <c r="L12" s="10">
        <f>SKU[[#This Row],[Ship Cost]]+SKU[[#This Row],[Kit Cost]]+SKU[[#This Row],[Comission Cost]]</f>
        <v>0</v>
      </c>
      <c r="M12" t="str">
        <f>IF(OR(ISNA(SKU[[#This Row],[Ship Cost]]), ISNA(SKU[[#This Row],[Kit Cost]]), ISNA(SKU[[#This Row],[Comission Cost]])), "Error Accessing SAP Rate", "")</f>
        <v/>
      </c>
    </row>
    <row r="13" spans="1:13" x14ac:dyDescent="0.25">
      <c r="A13" t="s">
        <v>8</v>
      </c>
      <c r="B13" t="s">
        <v>9</v>
      </c>
      <c r="C13" s="1">
        <v>4002239</v>
      </c>
      <c r="D13" s="4">
        <f>SUMIF(Ship_SKU[SKU], SKU[[#This Row],[SKU]], Ship_SKU[Qty])</f>
        <v>0</v>
      </c>
      <c r="E13" s="5">
        <f>IF(SKU[[#This Row],[Ship Code]]="", 0, VLOOKUP(SKU[[#This Row],[Ship Code]], Rate[], 3, FALSE)*SKU[[#This Row],[Ship Qty]])</f>
        <v>0</v>
      </c>
      <c r="F13" s="1">
        <v>4002240</v>
      </c>
      <c r="G13" s="2">
        <v>7</v>
      </c>
      <c r="H13" s="4">
        <f>SKU[[#This Row],[Ship Qty]]*SKU[[#This Row],[Kit Items]]</f>
        <v>0</v>
      </c>
      <c r="I13" s="5">
        <f>IF(SKU[[#This Row],[Kit Code]]="", 0, VLOOKUP(SKU[[#This Row],[Kit Code]], Rate[], 3, FALSE)*SKU[[#This Row],[Kit Qty]])</f>
        <v>0</v>
      </c>
      <c r="J13" s="2">
        <v>4002276</v>
      </c>
      <c r="K13" s="6">
        <f>IF(SKU[[#This Row],[Commission Code]]="", 0, VLOOKUP(SKU[[#This Row],[Commission Code]], Rate[], 3, FALSE)*SKU[[#This Row],[Ship Qty]])</f>
        <v>0</v>
      </c>
      <c r="L13" s="10">
        <f>SKU[[#This Row],[Ship Cost]]+SKU[[#This Row],[Kit Cost]]+SKU[[#This Row],[Comission Cost]]</f>
        <v>0</v>
      </c>
      <c r="M13" t="str">
        <f>IF(OR(ISNA(SKU[[#This Row],[Ship Cost]]), ISNA(SKU[[#This Row],[Kit Cost]]), ISNA(SKU[[#This Row],[Comission Cost]])), "Error Accessing SAP Rate", "")</f>
        <v/>
      </c>
    </row>
    <row r="14" spans="1:13" x14ac:dyDescent="0.25">
      <c r="A14" t="s">
        <v>194</v>
      </c>
      <c r="B14" t="s">
        <v>210</v>
      </c>
      <c r="C14" s="34">
        <v>4002239</v>
      </c>
      <c r="D14" s="4">
        <f>SUMIF(Ship_SKU[SKU], SKU[[#This Row],[SKU]], Ship_SKU[Qty])</f>
        <v>0</v>
      </c>
      <c r="E14" s="5">
        <f>IF(SKU[[#This Row],[Ship Code]]="", 0, VLOOKUP(SKU[[#This Row],[Ship Code]], Rate[], 3, FALSE)*SKU[[#This Row],[Ship Qty]])</f>
        <v>0</v>
      </c>
      <c r="F14" s="1">
        <v>4002240</v>
      </c>
      <c r="G14" s="2">
        <v>7</v>
      </c>
      <c r="H14" s="4">
        <f>SKU[[#This Row],[Ship Qty]]*SKU[[#This Row],[Kit Items]]</f>
        <v>0</v>
      </c>
      <c r="I14" s="5">
        <f>IF(SKU[[#This Row],[Kit Code]]="", 0, VLOOKUP(SKU[[#This Row],[Kit Code]], Rate[], 3, FALSE)*SKU[[#This Row],[Kit Qty]])</f>
        <v>0</v>
      </c>
      <c r="J14" s="1">
        <v>4002276</v>
      </c>
      <c r="K14" s="6">
        <f>IF(SKU[[#This Row],[Commission Code]]="", 0, VLOOKUP(SKU[[#This Row],[Commission Code]], Rate[], 3, FALSE)*SKU[[#This Row],[Ship Qty]])</f>
        <v>0</v>
      </c>
      <c r="L14" s="10">
        <f>SKU[[#This Row],[Ship Cost]]+SKU[[#This Row],[Kit Cost]]+SKU[[#This Row],[Comission Cost]]</f>
        <v>0</v>
      </c>
      <c r="M14" t="str">
        <f>IF(OR(ISNA(SKU[[#This Row],[Ship Cost]]), ISNA(SKU[[#This Row],[Kit Cost]]), ISNA(SKU[[#This Row],[Comission Cost]])), "Error Accessing SAP Rate", "")</f>
        <v/>
      </c>
    </row>
    <row r="15" spans="1:13" x14ac:dyDescent="0.25">
      <c r="A15" t="s">
        <v>53</v>
      </c>
      <c r="B15" t="s">
        <v>54</v>
      </c>
      <c r="C15" s="1">
        <v>4002239</v>
      </c>
      <c r="D15" s="4">
        <f>SUMIF(Ship_SKU[SKU], SKU[[#This Row],[SKU]], Ship_SKU[Qty])</f>
        <v>0</v>
      </c>
      <c r="E15" s="5">
        <f>IF(SKU[[#This Row],[Ship Code]]="", 0, VLOOKUP(SKU[[#This Row],[Ship Code]], Rate[], 3, FALSE)*SKU[[#This Row],[Ship Qty]])</f>
        <v>0</v>
      </c>
      <c r="F15" s="1">
        <v>4002240</v>
      </c>
      <c r="G15" s="2">
        <v>7</v>
      </c>
      <c r="H15" s="4">
        <f>SKU[[#This Row],[Ship Qty]]*SKU[[#This Row],[Kit Items]]</f>
        <v>0</v>
      </c>
      <c r="I15" s="5">
        <f>IF(SKU[[#This Row],[Kit Code]]="", 0, VLOOKUP(SKU[[#This Row],[Kit Code]], Rate[], 3, FALSE)*SKU[[#This Row],[Kit Qty]])</f>
        <v>0</v>
      </c>
      <c r="J15" s="2">
        <v>4002276</v>
      </c>
      <c r="K15" s="6">
        <f>IF(SKU[[#This Row],[Commission Code]]="", 0, VLOOKUP(SKU[[#This Row],[Commission Code]], Rate[], 3, FALSE)*SKU[[#This Row],[Ship Qty]])</f>
        <v>0</v>
      </c>
      <c r="L15" s="10">
        <f>SKU[[#This Row],[Ship Cost]]+SKU[[#This Row],[Kit Cost]]+SKU[[#This Row],[Comission Cost]]</f>
        <v>0</v>
      </c>
      <c r="M15" t="str">
        <f>IF(OR(ISNA(SKU[[#This Row],[Ship Cost]]), ISNA(SKU[[#This Row],[Kit Cost]]), ISNA(SKU[[#This Row],[Comission Cost]])), "Error Accessing SAP Rate", "")</f>
        <v/>
      </c>
    </row>
    <row r="16" spans="1:13" x14ac:dyDescent="0.25">
      <c r="A16" t="s">
        <v>55</v>
      </c>
      <c r="B16" t="s">
        <v>56</v>
      </c>
      <c r="C16" s="1">
        <v>4002239</v>
      </c>
      <c r="D16" s="4">
        <f>SUMIF(Ship_SKU[SKU], SKU[[#This Row],[SKU]], Ship_SKU[Qty])</f>
        <v>4</v>
      </c>
      <c r="E16" s="5">
        <f>IF(SKU[[#This Row],[Ship Code]]="", 0, VLOOKUP(SKU[[#This Row],[Ship Code]], Rate[], 3, FALSE)*SKU[[#This Row],[Ship Qty]])</f>
        <v>9.92</v>
      </c>
      <c r="F16" s="1">
        <v>4002240</v>
      </c>
      <c r="G16" s="2">
        <v>1</v>
      </c>
      <c r="H16" s="4">
        <f>SKU[[#This Row],[Ship Qty]]*SKU[[#This Row],[Kit Items]]</f>
        <v>4</v>
      </c>
      <c r="I16" s="5">
        <f>IF(SKU[[#This Row],[Kit Code]]="", 0, VLOOKUP(SKU[[#This Row],[Kit Code]], Rate[], 3, FALSE)*SKU[[#This Row],[Kit Qty]])</f>
        <v>7.56</v>
      </c>
      <c r="J16" s="2"/>
      <c r="K16" s="6">
        <f>IF(SKU[[#This Row],[Commission Code]]="", 0, VLOOKUP(SKU[[#This Row],[Commission Code]], Rate[], 3, FALSE)*SKU[[#This Row],[Ship Qty]])</f>
        <v>0</v>
      </c>
      <c r="L16" s="10">
        <f>SKU[[#This Row],[Ship Cost]]+SKU[[#This Row],[Kit Cost]]+SKU[[#This Row],[Comission Cost]]</f>
        <v>17.48</v>
      </c>
      <c r="M16" t="str">
        <f>IF(OR(ISNA(SKU[[#This Row],[Ship Cost]]), ISNA(SKU[[#This Row],[Kit Cost]]), ISNA(SKU[[#This Row],[Comission Cost]])), "Error Accessing SAP Rate", "")</f>
        <v/>
      </c>
    </row>
    <row r="17" spans="1:13" x14ac:dyDescent="0.25">
      <c r="A17" t="s">
        <v>195</v>
      </c>
      <c r="B17" t="s">
        <v>209</v>
      </c>
      <c r="C17" s="1">
        <v>4002239</v>
      </c>
      <c r="D17" s="4">
        <f>SUMIF(Ship_SKU[SKU], SKU[[#This Row],[SKU]], Ship_SKU[Qty])</f>
        <v>0</v>
      </c>
      <c r="E17" s="5">
        <f>IF(SKU[[#This Row],[Ship Code]]="", 0, VLOOKUP(SKU[[#This Row],[Ship Code]], Rate[], 3, FALSE)*SKU[[#This Row],[Ship Qty]])</f>
        <v>0</v>
      </c>
      <c r="F17" s="1">
        <v>4002240</v>
      </c>
      <c r="G17" s="2">
        <v>1</v>
      </c>
      <c r="H17" s="4">
        <f>SKU[[#This Row],[Ship Qty]]*SKU[[#This Row],[Kit Items]]</f>
        <v>0</v>
      </c>
      <c r="I17" s="5">
        <f>IF(SKU[[#This Row],[Kit Code]]="", 0, VLOOKUP(SKU[[#This Row],[Kit Code]], Rate[], 3, FALSE)*SKU[[#This Row],[Kit Qty]])</f>
        <v>0</v>
      </c>
      <c r="J17" s="2"/>
      <c r="K17" s="6">
        <f>IF(SKU[[#This Row],[Commission Code]]="", 0, VLOOKUP(SKU[[#This Row],[Commission Code]], Rate[], 3, FALSE)*SKU[[#This Row],[Ship Qty]])</f>
        <v>0</v>
      </c>
      <c r="L17" s="10">
        <f>SKU[[#This Row],[Ship Cost]]+SKU[[#This Row],[Kit Cost]]+SKU[[#This Row],[Comission Cost]]</f>
        <v>0</v>
      </c>
      <c r="M17" t="str">
        <f>IF(OR(ISNA(SKU[[#This Row],[Ship Cost]]), ISNA(SKU[[#This Row],[Kit Cost]]), ISNA(SKU[[#This Row],[Comission Cost]])), "Error Accessing SAP Rate", "")</f>
        <v/>
      </c>
    </row>
    <row r="18" spans="1:13" x14ac:dyDescent="0.25">
      <c r="A18" t="s">
        <v>10</v>
      </c>
      <c r="B18" t="s">
        <v>11</v>
      </c>
      <c r="C18" s="1">
        <v>4002239</v>
      </c>
      <c r="D18" s="4">
        <f>SUMIF(Ship_SKU[SKU], SKU[[#This Row],[SKU]], Ship_SKU[Qty])</f>
        <v>0</v>
      </c>
      <c r="E18" s="5">
        <f>IF(SKU[[#This Row],[Ship Code]]="", 0, VLOOKUP(SKU[[#This Row],[Ship Code]], Rate[], 3, FALSE)*SKU[[#This Row],[Ship Qty]])</f>
        <v>0</v>
      </c>
      <c r="F18" s="1">
        <v>4002240</v>
      </c>
      <c r="G18" s="2">
        <v>1</v>
      </c>
      <c r="H18" s="4">
        <f>SKU[[#This Row],[Ship Qty]]*SKU[[#This Row],[Kit Items]]</f>
        <v>0</v>
      </c>
      <c r="I18" s="5">
        <f>IF(SKU[[#This Row],[Kit Code]]="", 0, VLOOKUP(SKU[[#This Row],[Kit Code]], Rate[], 3, FALSE)*SKU[[#This Row],[Kit Qty]])</f>
        <v>0</v>
      </c>
      <c r="J18" s="2"/>
      <c r="K18" s="6">
        <f>IF(SKU[[#This Row],[Commission Code]]="", 0, VLOOKUP(SKU[[#This Row],[Commission Code]], Rate[], 3, FALSE)*SKU[[#This Row],[Ship Qty]])</f>
        <v>0</v>
      </c>
      <c r="L18" s="10">
        <f>SKU[[#This Row],[Ship Cost]]+SKU[[#This Row],[Kit Cost]]+SKU[[#This Row],[Comission Cost]]</f>
        <v>0</v>
      </c>
      <c r="M18" t="str">
        <f>IF(OR(ISNA(SKU[[#This Row],[Ship Cost]]), ISNA(SKU[[#This Row],[Kit Cost]]), ISNA(SKU[[#This Row],[Comission Cost]])), "Error Accessing SAP Rate", "")</f>
        <v/>
      </c>
    </row>
    <row r="19" spans="1:13" x14ac:dyDescent="0.25">
      <c r="A19" t="s">
        <v>212</v>
      </c>
      <c r="B19" t="s">
        <v>59</v>
      </c>
      <c r="C19" s="1">
        <v>4002239</v>
      </c>
      <c r="D19" s="4">
        <f>SUMIF(Ship_SKU[SKU], SKU[[#This Row],[SKU]], Ship_SKU[Qty])</f>
        <v>0</v>
      </c>
      <c r="E19" s="5">
        <f>IF(SKU[[#This Row],[Ship Code]]="", 0, VLOOKUP(SKU[[#This Row],[Ship Code]], Rate[], 3, FALSE)*SKU[[#This Row],[Ship Qty]])</f>
        <v>0</v>
      </c>
      <c r="F19" s="1">
        <v>4002240</v>
      </c>
      <c r="G19" s="2">
        <v>1</v>
      </c>
      <c r="H19" s="4">
        <f>SKU[[#This Row],[Ship Qty]]*SKU[[#This Row],[Kit Items]]</f>
        <v>0</v>
      </c>
      <c r="I19" s="5">
        <f>IF(SKU[[#This Row],[Kit Code]]="", 0, VLOOKUP(SKU[[#This Row],[Kit Code]], Rate[], 3, FALSE)*SKU[[#This Row],[Kit Qty]])</f>
        <v>0</v>
      </c>
      <c r="J19" s="2"/>
      <c r="K19" s="6">
        <f>IF(SKU[[#This Row],[Commission Code]]="", 0, VLOOKUP(SKU[[#This Row],[Commission Code]], Rate[], 3, FALSE)*SKU[[#This Row],[Ship Qty]])</f>
        <v>0</v>
      </c>
      <c r="L19" s="10">
        <f>SKU[[#This Row],[Ship Cost]]+SKU[[#This Row],[Kit Cost]]+SKU[[#This Row],[Comission Cost]]</f>
        <v>0</v>
      </c>
      <c r="M19" t="str">
        <f>IF(OR(ISNA(SKU[[#This Row],[Ship Cost]]), ISNA(SKU[[#This Row],[Kit Cost]]), ISNA(SKU[[#This Row],[Comission Cost]])), "Error Accessing SAP Rate", "")</f>
        <v/>
      </c>
    </row>
    <row r="20" spans="1:13" x14ac:dyDescent="0.25">
      <c r="A20" t="s">
        <v>57</v>
      </c>
      <c r="B20" t="s">
        <v>58</v>
      </c>
      <c r="C20" s="1">
        <v>4002239</v>
      </c>
      <c r="D20" s="4">
        <f>SUMIF(Ship_SKU[SKU], SKU[[#This Row],[SKU]], Ship_SKU[Qty])</f>
        <v>0</v>
      </c>
      <c r="E20" s="5">
        <f>IF(SKU[[#This Row],[Ship Code]]="", 0, VLOOKUP(SKU[[#This Row],[Ship Code]], Rate[], 3, FALSE)*SKU[[#This Row],[Ship Qty]])</f>
        <v>0</v>
      </c>
      <c r="F20" s="1">
        <v>4002240</v>
      </c>
      <c r="G20" s="2">
        <v>1</v>
      </c>
      <c r="H20" s="4">
        <f>SKU[[#This Row],[Ship Qty]]*SKU[[#This Row],[Kit Items]]</f>
        <v>0</v>
      </c>
      <c r="I20" s="5">
        <f>IF(SKU[[#This Row],[Kit Code]]="", 0, VLOOKUP(SKU[[#This Row],[Kit Code]], Rate[], 3, FALSE)*SKU[[#This Row],[Kit Qty]])</f>
        <v>0</v>
      </c>
      <c r="J20" s="2"/>
      <c r="K20" s="6">
        <f>IF(SKU[[#This Row],[Commission Code]]="", 0, VLOOKUP(SKU[[#This Row],[Commission Code]], Rate[], 3, FALSE)*SKU[[#This Row],[Ship Qty]])</f>
        <v>0</v>
      </c>
      <c r="L20" s="10">
        <f>SKU[[#This Row],[Ship Cost]]+SKU[[#This Row],[Kit Cost]]+SKU[[#This Row],[Comission Cost]]</f>
        <v>0</v>
      </c>
      <c r="M20" t="str">
        <f>IF(OR(ISNA(SKU[[#This Row],[Ship Cost]]), ISNA(SKU[[#This Row],[Kit Cost]]), ISNA(SKU[[#This Row],[Comission Cost]])), "Error Accessing SAP Rate", "")</f>
        <v/>
      </c>
    </row>
    <row r="21" spans="1:13" x14ac:dyDescent="0.25">
      <c r="A21" t="s">
        <v>60</v>
      </c>
      <c r="B21" t="s">
        <v>61</v>
      </c>
      <c r="C21" s="1">
        <v>4002239</v>
      </c>
      <c r="D21" s="4">
        <f>SUMIF(Ship_SKU[SKU], SKU[[#This Row],[SKU]], Ship_SKU[Qty])</f>
        <v>0</v>
      </c>
      <c r="E21" s="5">
        <f>IF(SKU[[#This Row],[Ship Code]]="", 0, VLOOKUP(SKU[[#This Row],[Ship Code]], Rate[], 3, FALSE)*SKU[[#This Row],[Ship Qty]])</f>
        <v>0</v>
      </c>
      <c r="F21" s="1">
        <v>4002240</v>
      </c>
      <c r="G21" s="2">
        <v>1</v>
      </c>
      <c r="H21" s="4">
        <f>SKU[[#This Row],[Ship Qty]]*SKU[[#This Row],[Kit Items]]</f>
        <v>0</v>
      </c>
      <c r="I21" s="5">
        <f>IF(SKU[[#This Row],[Kit Code]]="", 0, VLOOKUP(SKU[[#This Row],[Kit Code]], Rate[], 3, FALSE)*SKU[[#This Row],[Kit Qty]])</f>
        <v>0</v>
      </c>
      <c r="J21" s="2"/>
      <c r="K21" s="6">
        <f>IF(SKU[[#This Row],[Commission Code]]="", 0, VLOOKUP(SKU[[#This Row],[Commission Code]], Rate[], 3, FALSE)*SKU[[#This Row],[Ship Qty]])</f>
        <v>0</v>
      </c>
      <c r="L21" s="10">
        <f>SKU[[#This Row],[Ship Cost]]+SKU[[#This Row],[Kit Cost]]+SKU[[#This Row],[Comission Cost]]</f>
        <v>0</v>
      </c>
      <c r="M21" t="str">
        <f>IF(OR(ISNA(SKU[[#This Row],[Ship Cost]]), ISNA(SKU[[#This Row],[Kit Cost]]), ISNA(SKU[[#This Row],[Comission Cost]])), "Error Accessing SAP Rate", "")</f>
        <v/>
      </c>
    </row>
    <row r="22" spans="1:13" x14ac:dyDescent="0.25">
      <c r="A22" t="s">
        <v>123</v>
      </c>
      <c r="B22" t="s">
        <v>124</v>
      </c>
      <c r="C22" s="1">
        <v>4002239</v>
      </c>
      <c r="D22" s="4">
        <f>SUMIF(Ship_SKU[SKU], SKU[[#This Row],[SKU]], Ship_SKU[Qty])</f>
        <v>0</v>
      </c>
      <c r="E22" s="5">
        <f>IF(SKU[[#This Row],[Ship Code]]="", 0, VLOOKUP(SKU[[#This Row],[Ship Code]], Rate[], 3, FALSE)*SKU[[#This Row],[Ship Qty]])</f>
        <v>0</v>
      </c>
      <c r="F22" s="1"/>
      <c r="G22" s="2"/>
      <c r="H22" s="4">
        <f>SKU[[#This Row],[Ship Qty]]*SKU[[#This Row],[Kit Items]]</f>
        <v>0</v>
      </c>
      <c r="I22" s="5">
        <f>IF(SKU[[#This Row],[Kit Code]]="", 0, VLOOKUP(SKU[[#This Row],[Kit Code]], Rate[], 3, FALSE)*SKU[[#This Row],[Kit Qty]])</f>
        <v>0</v>
      </c>
      <c r="J22" s="1">
        <v>4002242</v>
      </c>
      <c r="K22" s="6">
        <f>IF(SKU[[#This Row],[Commission Code]]="", 0, VLOOKUP(SKU[[#This Row],[Commission Code]], Rate[], 3, FALSE)*SKU[[#This Row],[Ship Qty]])</f>
        <v>0</v>
      </c>
      <c r="L22" s="10">
        <f>SKU[[#This Row],[Ship Cost]]+SKU[[#This Row],[Kit Cost]]+SKU[[#This Row],[Comission Cost]]</f>
        <v>0</v>
      </c>
      <c r="M22" t="str">
        <f>IF(OR(ISNA(SKU[[#This Row],[Ship Cost]]), ISNA(SKU[[#This Row],[Kit Cost]]), ISNA(SKU[[#This Row],[Comission Cost]])), "Error Accessing SAP Rate", "")</f>
        <v/>
      </c>
    </row>
    <row r="23" spans="1:13" x14ac:dyDescent="0.25">
      <c r="A23" t="s">
        <v>62</v>
      </c>
      <c r="B23" t="s">
        <v>63</v>
      </c>
      <c r="C23" s="1">
        <v>4002239</v>
      </c>
      <c r="D23" s="4">
        <f>SUMIF(Ship_SKU[SKU], SKU[[#This Row],[SKU]], Ship_SKU[Qty])</f>
        <v>0</v>
      </c>
      <c r="E23" s="5">
        <f>IF(SKU[[#This Row],[Ship Code]]="", 0, VLOOKUP(SKU[[#This Row],[Ship Code]], Rate[], 3, FALSE)*SKU[[#This Row],[Ship Qty]])</f>
        <v>0</v>
      </c>
      <c r="F23" s="1"/>
      <c r="G23" s="2"/>
      <c r="H23" s="4">
        <f>SKU[[#This Row],[Ship Qty]]*SKU[[#This Row],[Kit Items]]</f>
        <v>0</v>
      </c>
      <c r="I23" s="5">
        <f>IF(SKU[[#This Row],[Kit Code]]="", 0, VLOOKUP(SKU[[#This Row],[Kit Code]], Rate[], 3, FALSE)*SKU[[#This Row],[Kit Qty]])</f>
        <v>0</v>
      </c>
      <c r="J23" s="1">
        <v>4002242</v>
      </c>
      <c r="K23" s="6">
        <f>IF(SKU[[#This Row],[Commission Code]]="", 0, VLOOKUP(SKU[[#This Row],[Commission Code]], Rate[], 3, FALSE)*SKU[[#This Row],[Ship Qty]])</f>
        <v>0</v>
      </c>
      <c r="L23" s="10">
        <f>SKU[[#This Row],[Ship Cost]]+SKU[[#This Row],[Kit Cost]]+SKU[[#This Row],[Comission Cost]]</f>
        <v>0</v>
      </c>
      <c r="M23" t="str">
        <f>IF(OR(ISNA(SKU[[#This Row],[Ship Cost]]), ISNA(SKU[[#This Row],[Kit Cost]]), ISNA(SKU[[#This Row],[Comission Cost]])), "Error Accessing SAP Rate", "")</f>
        <v/>
      </c>
    </row>
    <row r="24" spans="1:13" x14ac:dyDescent="0.25">
      <c r="A24" t="s">
        <v>214</v>
      </c>
      <c r="B24" t="s">
        <v>66</v>
      </c>
      <c r="C24" s="1">
        <v>4002239</v>
      </c>
      <c r="D24" s="4">
        <f>SUMIF(Ship_SKU[SKU], SKU[[#This Row],[SKU]], Ship_SKU[Qty])</f>
        <v>0</v>
      </c>
      <c r="E24" s="5">
        <f>IF(SKU[[#This Row],[Ship Code]]="", 0, VLOOKUP(SKU[[#This Row],[Ship Code]], Rate[], 3, FALSE)*SKU[[#This Row],[Ship Qty]])</f>
        <v>0</v>
      </c>
      <c r="F24" s="1"/>
      <c r="G24" s="2"/>
      <c r="H24" s="4">
        <f>SKU[[#This Row],[Ship Qty]]*SKU[[#This Row],[Kit Items]]</f>
        <v>0</v>
      </c>
      <c r="I24" s="5">
        <f>IF(SKU[[#This Row],[Kit Code]]="", 0, VLOOKUP(SKU[[#This Row],[Kit Code]], Rate[], 3, FALSE)*SKU[[#This Row],[Kit Qty]])</f>
        <v>0</v>
      </c>
      <c r="J24" s="1">
        <v>4002242</v>
      </c>
      <c r="K24" s="6">
        <f>IF(SKU[[#This Row],[Commission Code]]="", 0, VLOOKUP(SKU[[#This Row],[Commission Code]], Rate[], 3, FALSE)*SKU[[#This Row],[Ship Qty]])</f>
        <v>0</v>
      </c>
      <c r="L24" s="10">
        <f>SKU[[#This Row],[Ship Cost]]+SKU[[#This Row],[Kit Cost]]+SKU[[#This Row],[Comission Cost]]</f>
        <v>0</v>
      </c>
      <c r="M24" t="str">
        <f>IF(OR(ISNA(SKU[[#This Row],[Ship Cost]]), ISNA(SKU[[#This Row],[Kit Cost]]), ISNA(SKU[[#This Row],[Comission Cost]])), "Error Accessing SAP Rate", "")</f>
        <v/>
      </c>
    </row>
    <row r="25" spans="1:13" x14ac:dyDescent="0.25">
      <c r="A25" t="s">
        <v>64</v>
      </c>
      <c r="B25" t="s">
        <v>65</v>
      </c>
      <c r="C25" s="1">
        <v>4002239</v>
      </c>
      <c r="D25" s="4">
        <f>SUMIF(Ship_SKU[SKU], SKU[[#This Row],[SKU]], Ship_SKU[Qty])</f>
        <v>0</v>
      </c>
      <c r="E25" s="5">
        <f>IF(SKU[[#This Row],[Ship Code]]="", 0, VLOOKUP(SKU[[#This Row],[Ship Code]], Rate[], 3, FALSE)*SKU[[#This Row],[Ship Qty]])</f>
        <v>0</v>
      </c>
      <c r="F25" s="1"/>
      <c r="G25" s="2"/>
      <c r="H25" s="4">
        <f>SKU[[#This Row],[Ship Qty]]*SKU[[#This Row],[Kit Items]]</f>
        <v>0</v>
      </c>
      <c r="I25" s="5">
        <f>IF(SKU[[#This Row],[Kit Code]]="", 0, VLOOKUP(SKU[[#This Row],[Kit Code]], Rate[], 3, FALSE)*SKU[[#This Row],[Kit Qty]])</f>
        <v>0</v>
      </c>
      <c r="J25" s="1">
        <v>4002242</v>
      </c>
      <c r="K25" s="6">
        <f>IF(SKU[[#This Row],[Commission Code]]="", 0, VLOOKUP(SKU[[#This Row],[Commission Code]], Rate[], 3, FALSE)*SKU[[#This Row],[Ship Qty]])</f>
        <v>0</v>
      </c>
      <c r="L25" s="10">
        <f>SKU[[#This Row],[Ship Cost]]+SKU[[#This Row],[Kit Cost]]+SKU[[#This Row],[Comission Cost]]</f>
        <v>0</v>
      </c>
      <c r="M25" t="str">
        <f>IF(OR(ISNA(SKU[[#This Row],[Ship Cost]]), ISNA(SKU[[#This Row],[Kit Cost]]), ISNA(SKU[[#This Row],[Comission Cost]])), "Error Accessing SAP Rate", "")</f>
        <v/>
      </c>
    </row>
    <row r="26" spans="1:13" x14ac:dyDescent="0.25">
      <c r="A26" t="s">
        <v>12</v>
      </c>
      <c r="B26" t="s">
        <v>13</v>
      </c>
      <c r="C26" s="1">
        <v>4002239</v>
      </c>
      <c r="D26" s="4">
        <f>SUMIF(Ship_SKU[SKU], SKU[[#This Row],[SKU]], Ship_SKU[Qty])</f>
        <v>2</v>
      </c>
      <c r="E26" s="5">
        <f>IF(SKU[[#This Row],[Ship Code]]="", 0, VLOOKUP(SKU[[#This Row],[Ship Code]], Rate[], 3, FALSE)*SKU[[#This Row],[Ship Qty]])</f>
        <v>4.96</v>
      </c>
      <c r="F26" s="1"/>
      <c r="G26" s="2"/>
      <c r="H26" s="4">
        <f>SKU[[#This Row],[Ship Qty]]*SKU[[#This Row],[Kit Items]]</f>
        <v>0</v>
      </c>
      <c r="I26" s="5">
        <f>IF(SKU[[#This Row],[Kit Code]]="", 0, VLOOKUP(SKU[[#This Row],[Kit Code]], Rate[], 3, FALSE)*SKU[[#This Row],[Kit Qty]])</f>
        <v>0</v>
      </c>
      <c r="J26" s="1">
        <v>4002242</v>
      </c>
      <c r="K26" s="6">
        <f>IF(SKU[[#This Row],[Commission Code]]="", 0, VLOOKUP(SKU[[#This Row],[Commission Code]], Rate[], 3, FALSE)*SKU[[#This Row],[Ship Qty]])</f>
        <v>21.98</v>
      </c>
      <c r="L26" s="10">
        <f>SKU[[#This Row],[Ship Cost]]+SKU[[#This Row],[Kit Cost]]+SKU[[#This Row],[Comission Cost]]</f>
        <v>26.94</v>
      </c>
      <c r="M26" t="str">
        <f>IF(OR(ISNA(SKU[[#This Row],[Ship Cost]]), ISNA(SKU[[#This Row],[Kit Cost]]), ISNA(SKU[[#This Row],[Comission Cost]])), "Error Accessing SAP Rate", "")</f>
        <v/>
      </c>
    </row>
    <row r="27" spans="1:13" x14ac:dyDescent="0.25">
      <c r="A27" t="s">
        <v>67</v>
      </c>
      <c r="B27" t="s">
        <v>68</v>
      </c>
      <c r="C27" s="1">
        <v>4002239</v>
      </c>
      <c r="D27" s="4">
        <f>SUMIF(Ship_SKU[SKU], SKU[[#This Row],[SKU]], Ship_SKU[Qty])</f>
        <v>0</v>
      </c>
      <c r="E27" s="5">
        <f>IF(SKU[[#This Row],[Ship Code]]="", 0, VLOOKUP(SKU[[#This Row],[Ship Code]], Rate[], 3, FALSE)*SKU[[#This Row],[Ship Qty]])</f>
        <v>0</v>
      </c>
      <c r="F27" s="1"/>
      <c r="G27" s="2"/>
      <c r="H27" s="4">
        <f>SKU[[#This Row],[Ship Qty]]*SKU[[#This Row],[Kit Items]]</f>
        <v>0</v>
      </c>
      <c r="I27" s="5">
        <f>IF(SKU[[#This Row],[Kit Code]]="", 0, VLOOKUP(SKU[[#This Row],[Kit Code]], Rate[], 3, FALSE)*SKU[[#This Row],[Kit Qty]])</f>
        <v>0</v>
      </c>
      <c r="J27" s="1">
        <v>4002242</v>
      </c>
      <c r="K27" s="6">
        <f>IF(SKU[[#This Row],[Commission Code]]="", 0, VLOOKUP(SKU[[#This Row],[Commission Code]], Rate[], 3, FALSE)*SKU[[#This Row],[Ship Qty]])</f>
        <v>0</v>
      </c>
      <c r="L27" s="10">
        <f>SKU[[#This Row],[Ship Cost]]+SKU[[#This Row],[Kit Cost]]+SKU[[#This Row],[Comission Cost]]</f>
        <v>0</v>
      </c>
      <c r="M27" t="str">
        <f>IF(OR(ISNA(SKU[[#This Row],[Ship Cost]]), ISNA(SKU[[#This Row],[Kit Cost]]), ISNA(SKU[[#This Row],[Comission Cost]])), "Error Accessing SAP Rate", "")</f>
        <v/>
      </c>
    </row>
    <row r="28" spans="1:13" x14ac:dyDescent="0.25">
      <c r="A28" t="s">
        <v>69</v>
      </c>
      <c r="B28" t="s">
        <v>70</v>
      </c>
      <c r="C28" s="1">
        <v>4002239</v>
      </c>
      <c r="D28" s="4">
        <f>SUMIF(Ship_SKU[SKU], SKU[[#This Row],[SKU]], Ship_SKU[Qty])</f>
        <v>0</v>
      </c>
      <c r="E28" s="5">
        <f>IF(SKU[[#This Row],[Ship Code]]="", 0, VLOOKUP(SKU[[#This Row],[Ship Code]], Rate[], 3, FALSE)*SKU[[#This Row],[Ship Qty]])</f>
        <v>0</v>
      </c>
      <c r="F28" s="1"/>
      <c r="G28" s="2"/>
      <c r="H28" s="4">
        <f>SKU[[#This Row],[Ship Qty]]*SKU[[#This Row],[Kit Items]]</f>
        <v>0</v>
      </c>
      <c r="I28" s="5">
        <f>IF(SKU[[#This Row],[Kit Code]]="", 0, VLOOKUP(SKU[[#This Row],[Kit Code]], Rate[], 3, FALSE)*SKU[[#This Row],[Kit Qty]])</f>
        <v>0</v>
      </c>
      <c r="J28" s="1">
        <v>4002242</v>
      </c>
      <c r="K28" s="6">
        <f>IF(SKU[[#This Row],[Commission Code]]="", 0, VLOOKUP(SKU[[#This Row],[Commission Code]], Rate[], 3, FALSE)*SKU[[#This Row],[Ship Qty]])</f>
        <v>0</v>
      </c>
      <c r="L28" s="10">
        <f>SKU[[#This Row],[Ship Cost]]+SKU[[#This Row],[Kit Cost]]+SKU[[#This Row],[Comission Cost]]</f>
        <v>0</v>
      </c>
      <c r="M28" t="str">
        <f>IF(OR(ISNA(SKU[[#This Row],[Ship Cost]]), ISNA(SKU[[#This Row],[Kit Cost]]), ISNA(SKU[[#This Row],[Comission Cost]])), "Error Accessing SAP Rate", "")</f>
        <v/>
      </c>
    </row>
    <row r="29" spans="1:13" x14ac:dyDescent="0.25">
      <c r="A29" t="s">
        <v>196</v>
      </c>
      <c r="B29" t="s">
        <v>208</v>
      </c>
      <c r="C29" s="34">
        <v>4002239</v>
      </c>
      <c r="D29" s="4">
        <f>SUMIF(Ship_SKU[SKU], SKU[[#This Row],[SKU]], Ship_SKU[Qty])</f>
        <v>0</v>
      </c>
      <c r="E29" s="5">
        <f>IF(SKU[[#This Row],[Ship Code]]="", 0, VLOOKUP(SKU[[#This Row],[Ship Code]], Rate[], 3, FALSE)*SKU[[#This Row],[Ship Qty]])</f>
        <v>0</v>
      </c>
      <c r="F29" s="1"/>
      <c r="G29" s="2"/>
      <c r="H29" s="4">
        <f>SKU[[#This Row],[Ship Qty]]*SKU[[#This Row],[Kit Items]]</f>
        <v>0</v>
      </c>
      <c r="I29" s="5">
        <f>IF(SKU[[#This Row],[Kit Code]]="", 0, VLOOKUP(SKU[[#This Row],[Kit Code]], Rate[], 3, FALSE)*SKU[[#This Row],[Kit Qty]])</f>
        <v>0</v>
      </c>
      <c r="J29" s="1">
        <v>4002242</v>
      </c>
      <c r="K29" s="6">
        <f>IF(SKU[[#This Row],[Commission Code]]="", 0, VLOOKUP(SKU[[#This Row],[Commission Code]], Rate[], 3, FALSE)*SKU[[#This Row],[Ship Qty]])</f>
        <v>0</v>
      </c>
      <c r="L29" s="10">
        <f>SKU[[#This Row],[Ship Cost]]+SKU[[#This Row],[Kit Cost]]+SKU[[#This Row],[Comission Cost]]</f>
        <v>0</v>
      </c>
      <c r="M29" t="str">
        <f>IF(OR(ISNA(SKU[[#This Row],[Ship Cost]]), ISNA(SKU[[#This Row],[Kit Cost]]), ISNA(SKU[[#This Row],[Comission Cost]])), "Error Accessing SAP Rate", "")</f>
        <v/>
      </c>
    </row>
    <row r="30" spans="1:13" x14ac:dyDescent="0.25">
      <c r="A30" t="s">
        <v>197</v>
      </c>
      <c r="B30" t="s">
        <v>202</v>
      </c>
      <c r="C30" s="34">
        <v>4002239</v>
      </c>
      <c r="D30" s="4">
        <f>SUMIF(Ship_SKU[SKU], SKU[[#This Row],[SKU]], Ship_SKU[Qty])</f>
        <v>0</v>
      </c>
      <c r="E30" s="5">
        <f>IF(SKU[[#This Row],[Ship Code]]="", 0, VLOOKUP(SKU[[#This Row],[Ship Code]], Rate[], 3, FALSE)*SKU[[#This Row],[Ship Qty]])</f>
        <v>0</v>
      </c>
      <c r="F30" s="1"/>
      <c r="G30" s="2"/>
      <c r="H30" s="4">
        <f>SKU[[#This Row],[Ship Qty]]*SKU[[#This Row],[Kit Items]]</f>
        <v>0</v>
      </c>
      <c r="I30" s="5">
        <f>IF(SKU[[#This Row],[Kit Code]]="", 0, VLOOKUP(SKU[[#This Row],[Kit Code]], Rate[], 3, FALSE)*SKU[[#This Row],[Kit Qty]])</f>
        <v>0</v>
      </c>
      <c r="J30" s="1">
        <v>4002242</v>
      </c>
      <c r="K30" s="6">
        <f>IF(SKU[[#This Row],[Commission Code]]="", 0, VLOOKUP(SKU[[#This Row],[Commission Code]], Rate[], 3, FALSE)*SKU[[#This Row],[Ship Qty]])</f>
        <v>0</v>
      </c>
      <c r="L30" s="10">
        <f>SKU[[#This Row],[Ship Cost]]+SKU[[#This Row],[Kit Cost]]+SKU[[#This Row],[Comission Cost]]</f>
        <v>0</v>
      </c>
      <c r="M30" t="str">
        <f>IF(OR(ISNA(SKU[[#This Row],[Ship Cost]]), ISNA(SKU[[#This Row],[Kit Cost]]), ISNA(SKU[[#This Row],[Comission Cost]])), "Error Accessing SAP Rate", "")</f>
        <v/>
      </c>
    </row>
    <row r="31" spans="1:13" x14ac:dyDescent="0.25">
      <c r="A31" t="s">
        <v>213</v>
      </c>
      <c r="B31" t="s">
        <v>204</v>
      </c>
      <c r="C31" s="34">
        <v>4002239</v>
      </c>
      <c r="D31" s="4">
        <f>SUMIF(Ship_SKU[SKU], SKU[[#This Row],[SKU]], Ship_SKU[Qty])</f>
        <v>0</v>
      </c>
      <c r="E31" s="5">
        <f>IF(SKU[[#This Row],[Ship Code]]="", 0, VLOOKUP(SKU[[#This Row],[Ship Code]], Rate[], 3, FALSE)*SKU[[#This Row],[Ship Qty]])</f>
        <v>0</v>
      </c>
      <c r="F31" s="1"/>
      <c r="G31" s="2"/>
      <c r="H31" s="4">
        <f>SKU[[#This Row],[Ship Qty]]*SKU[[#This Row],[Kit Items]]</f>
        <v>0</v>
      </c>
      <c r="I31" s="5">
        <f>IF(SKU[[#This Row],[Kit Code]]="", 0, VLOOKUP(SKU[[#This Row],[Kit Code]], Rate[], 3, FALSE)*SKU[[#This Row],[Kit Qty]])</f>
        <v>0</v>
      </c>
      <c r="J31" s="1">
        <v>4002242</v>
      </c>
      <c r="K31" s="6">
        <f>IF(SKU[[#This Row],[Commission Code]]="", 0, VLOOKUP(SKU[[#This Row],[Commission Code]], Rate[], 3, FALSE)*SKU[[#This Row],[Ship Qty]])</f>
        <v>0</v>
      </c>
      <c r="L31" s="10">
        <f>SKU[[#This Row],[Ship Cost]]+SKU[[#This Row],[Kit Cost]]+SKU[[#This Row],[Comission Cost]]</f>
        <v>0</v>
      </c>
      <c r="M31" t="str">
        <f>IF(OR(ISNA(SKU[[#This Row],[Ship Cost]]), ISNA(SKU[[#This Row],[Kit Cost]]), ISNA(SKU[[#This Row],[Comission Cost]])), "Error Accessing SAP Rate", "")</f>
        <v/>
      </c>
    </row>
    <row r="32" spans="1:13" x14ac:dyDescent="0.25">
      <c r="A32" t="s">
        <v>198</v>
      </c>
      <c r="B32" t="s">
        <v>203</v>
      </c>
      <c r="C32" s="34">
        <v>4002239</v>
      </c>
      <c r="D32" s="4">
        <f>SUMIF(Ship_SKU[SKU], SKU[[#This Row],[SKU]], Ship_SKU[Qty])</f>
        <v>0</v>
      </c>
      <c r="E32" s="5">
        <f>IF(SKU[[#This Row],[Ship Code]]="", 0, VLOOKUP(SKU[[#This Row],[Ship Code]], Rate[], 3, FALSE)*SKU[[#This Row],[Ship Qty]])</f>
        <v>0</v>
      </c>
      <c r="F32" s="1"/>
      <c r="G32" s="2"/>
      <c r="H32" s="4">
        <f>SKU[[#This Row],[Ship Qty]]*SKU[[#This Row],[Kit Items]]</f>
        <v>0</v>
      </c>
      <c r="I32" s="5">
        <f>IF(SKU[[#This Row],[Kit Code]]="", 0, VLOOKUP(SKU[[#This Row],[Kit Code]], Rate[], 3, FALSE)*SKU[[#This Row],[Kit Qty]])</f>
        <v>0</v>
      </c>
      <c r="J32" s="1">
        <v>4002242</v>
      </c>
      <c r="K32" s="6">
        <f>IF(SKU[[#This Row],[Commission Code]]="", 0, VLOOKUP(SKU[[#This Row],[Commission Code]], Rate[], 3, FALSE)*SKU[[#This Row],[Ship Qty]])</f>
        <v>0</v>
      </c>
      <c r="L32" s="10">
        <f>SKU[[#This Row],[Ship Cost]]+SKU[[#This Row],[Kit Cost]]+SKU[[#This Row],[Comission Cost]]</f>
        <v>0</v>
      </c>
      <c r="M32" t="str">
        <f>IF(OR(ISNA(SKU[[#This Row],[Ship Cost]]), ISNA(SKU[[#This Row],[Kit Cost]]), ISNA(SKU[[#This Row],[Comission Cost]])), "Error Accessing SAP Rate", "")</f>
        <v/>
      </c>
    </row>
    <row r="33" spans="1:13" x14ac:dyDescent="0.25">
      <c r="A33" t="s">
        <v>199</v>
      </c>
      <c r="B33" t="s">
        <v>207</v>
      </c>
      <c r="C33" s="34">
        <v>4002239</v>
      </c>
      <c r="D33" s="4">
        <f>SUMIF(Ship_SKU[SKU], SKU[[#This Row],[SKU]], Ship_SKU[Qty])</f>
        <v>0</v>
      </c>
      <c r="E33" s="5">
        <f>IF(SKU[[#This Row],[Ship Code]]="", 0, VLOOKUP(SKU[[#This Row],[Ship Code]], Rate[], 3, FALSE)*SKU[[#This Row],[Ship Qty]])</f>
        <v>0</v>
      </c>
      <c r="F33" s="1"/>
      <c r="G33" s="2"/>
      <c r="H33" s="4">
        <f>SKU[[#This Row],[Ship Qty]]*SKU[[#This Row],[Kit Items]]</f>
        <v>0</v>
      </c>
      <c r="I33" s="5">
        <f>IF(SKU[[#This Row],[Kit Code]]="", 0, VLOOKUP(SKU[[#This Row],[Kit Code]], Rate[], 3, FALSE)*SKU[[#This Row],[Kit Qty]])</f>
        <v>0</v>
      </c>
      <c r="J33" s="1">
        <v>4002242</v>
      </c>
      <c r="K33" s="6">
        <f>IF(SKU[[#This Row],[Commission Code]]="", 0, VLOOKUP(SKU[[#This Row],[Commission Code]], Rate[], 3, FALSE)*SKU[[#This Row],[Ship Qty]])</f>
        <v>0</v>
      </c>
      <c r="L33" s="10">
        <f>SKU[[#This Row],[Ship Cost]]+SKU[[#This Row],[Kit Cost]]+SKU[[#This Row],[Comission Cost]]</f>
        <v>0</v>
      </c>
      <c r="M33" t="str">
        <f>IF(OR(ISNA(SKU[[#This Row],[Ship Cost]]), ISNA(SKU[[#This Row],[Kit Cost]]), ISNA(SKU[[#This Row],[Comission Cost]])), "Error Accessing SAP Rate", "")</f>
        <v/>
      </c>
    </row>
    <row r="34" spans="1:13" x14ac:dyDescent="0.25">
      <c r="A34" t="s">
        <v>200</v>
      </c>
      <c r="B34" t="s">
        <v>205</v>
      </c>
      <c r="C34" s="34">
        <v>4002239</v>
      </c>
      <c r="D34" s="4">
        <f>SUMIF(Ship_SKU[SKU], SKU[[#This Row],[SKU]], Ship_SKU[Qty])</f>
        <v>0</v>
      </c>
      <c r="E34" s="5">
        <f>IF(SKU[[#This Row],[Ship Code]]="", 0, VLOOKUP(SKU[[#This Row],[Ship Code]], Rate[], 3, FALSE)*SKU[[#This Row],[Ship Qty]])</f>
        <v>0</v>
      </c>
      <c r="F34" s="1"/>
      <c r="G34" s="2"/>
      <c r="H34" s="4">
        <f>SKU[[#This Row],[Ship Qty]]*SKU[[#This Row],[Kit Items]]</f>
        <v>0</v>
      </c>
      <c r="I34" s="5">
        <f>IF(SKU[[#This Row],[Kit Code]]="", 0, VLOOKUP(SKU[[#This Row],[Kit Code]], Rate[], 3, FALSE)*SKU[[#This Row],[Kit Qty]])</f>
        <v>0</v>
      </c>
      <c r="J34" s="1">
        <v>4002242</v>
      </c>
      <c r="K34" s="6">
        <f>IF(SKU[[#This Row],[Commission Code]]="", 0, VLOOKUP(SKU[[#This Row],[Commission Code]], Rate[], 3, FALSE)*SKU[[#This Row],[Ship Qty]])</f>
        <v>0</v>
      </c>
      <c r="L34" s="10">
        <f>SKU[[#This Row],[Ship Cost]]+SKU[[#This Row],[Kit Cost]]+SKU[[#This Row],[Comission Cost]]</f>
        <v>0</v>
      </c>
      <c r="M34" t="str">
        <f>IF(OR(ISNA(SKU[[#This Row],[Ship Cost]]), ISNA(SKU[[#This Row],[Kit Cost]]), ISNA(SKU[[#This Row],[Comission Cost]])), "Error Accessing SAP Rate", "")</f>
        <v/>
      </c>
    </row>
    <row r="35" spans="1:13" x14ac:dyDescent="0.25">
      <c r="A35" t="s">
        <v>201</v>
      </c>
      <c r="B35" t="s">
        <v>206</v>
      </c>
      <c r="C35" s="34">
        <v>4002239</v>
      </c>
      <c r="D35" s="4">
        <f>SUMIF(Ship_SKU[SKU], SKU[[#This Row],[SKU]], Ship_SKU[Qty])</f>
        <v>0</v>
      </c>
      <c r="E35" s="5">
        <f>IF(SKU[[#This Row],[Ship Code]]="", 0, VLOOKUP(SKU[[#This Row],[Ship Code]], Rate[], 3, FALSE)*SKU[[#This Row],[Ship Qty]])</f>
        <v>0</v>
      </c>
      <c r="F35" s="1"/>
      <c r="G35" s="2"/>
      <c r="H35" s="4">
        <f>SKU[[#This Row],[Ship Qty]]*SKU[[#This Row],[Kit Items]]</f>
        <v>0</v>
      </c>
      <c r="I35" s="5">
        <f>IF(SKU[[#This Row],[Kit Code]]="", 0, VLOOKUP(SKU[[#This Row],[Kit Code]], Rate[], 3, FALSE)*SKU[[#This Row],[Kit Qty]])</f>
        <v>0</v>
      </c>
      <c r="J35" s="1">
        <v>4002242</v>
      </c>
      <c r="K35" s="6">
        <f>IF(SKU[[#This Row],[Commission Code]]="", 0, VLOOKUP(SKU[[#This Row],[Commission Code]], Rate[], 3, FALSE)*SKU[[#This Row],[Ship Qty]])</f>
        <v>0</v>
      </c>
      <c r="L35" s="10">
        <f>SKU[[#This Row],[Ship Cost]]+SKU[[#This Row],[Kit Cost]]+SKU[[#This Row],[Comission Cost]]</f>
        <v>0</v>
      </c>
      <c r="M35" t="str">
        <f>IF(OR(ISNA(SKU[[#This Row],[Ship Cost]]), ISNA(SKU[[#This Row],[Kit Cost]]), ISNA(SKU[[#This Row],[Comission Cost]])), "Error Accessing SAP Rate", "")</f>
        <v/>
      </c>
    </row>
    <row r="36" spans="1:13" x14ac:dyDescent="0.25">
      <c r="A36" t="s">
        <v>71</v>
      </c>
      <c r="B36" t="s">
        <v>72</v>
      </c>
      <c r="C36" s="1">
        <v>4002239</v>
      </c>
      <c r="D36" s="4">
        <f>SUMIF(Ship_SKU[SKU], SKU[[#This Row],[SKU]], Ship_SKU[Qty])</f>
        <v>0</v>
      </c>
      <c r="E36" s="5">
        <f>IF(SKU[[#This Row],[Ship Code]]="", 0, VLOOKUP(SKU[[#This Row],[Ship Code]], Rate[], 3, FALSE)*SKU[[#This Row],[Ship Qty]])</f>
        <v>0</v>
      </c>
      <c r="F36" s="1">
        <v>4002240</v>
      </c>
      <c r="G36" s="2">
        <v>3</v>
      </c>
      <c r="H36" s="4">
        <f>SKU[[#This Row],[Ship Qty]]*SKU[[#This Row],[Kit Items]]</f>
        <v>0</v>
      </c>
      <c r="I36" s="5">
        <f>IF(SKU[[#This Row],[Kit Code]]="", 0, VLOOKUP(SKU[[#This Row],[Kit Code]], Rate[], 3, FALSE)*SKU[[#This Row],[Kit Qty]])</f>
        <v>0</v>
      </c>
      <c r="J36" s="2"/>
      <c r="K36" s="6">
        <f>IF(SKU[[#This Row],[Commission Code]]="", 0, VLOOKUP(SKU[[#This Row],[Commission Code]], Rate[], 3, FALSE)*SKU[[#This Row],[Ship Qty]])</f>
        <v>0</v>
      </c>
      <c r="L36" s="10">
        <f>SKU[[#This Row],[Ship Cost]]+SKU[[#This Row],[Kit Cost]]+SKU[[#This Row],[Comission Cost]]</f>
        <v>0</v>
      </c>
      <c r="M36" t="str">
        <f>IF(OR(ISNA(SKU[[#This Row],[Ship Cost]]), ISNA(SKU[[#This Row],[Kit Cost]]), ISNA(SKU[[#This Row],[Comission Cost]])), "Error Accessing SAP Rate", "")</f>
        <v/>
      </c>
    </row>
    <row r="37" spans="1:13" x14ac:dyDescent="0.25">
      <c r="A37" s="38" t="s">
        <v>219</v>
      </c>
      <c r="B37" s="38" t="s">
        <v>224</v>
      </c>
      <c r="C37" s="39">
        <v>4002239</v>
      </c>
      <c r="D37" s="4">
        <f>SUMIF(Ship_SKU[SKU], SKU[[#This Row],[SKU]], Ship_SKU[Qty])</f>
        <v>0</v>
      </c>
      <c r="E37" s="5">
        <f>IF(SKU[[#This Row],[Ship Code]]="", 0, VLOOKUP(SKU[[#This Row],[Ship Code]], Rate[], 3, FALSE)*SKU[[#This Row],[Ship Qty]])</f>
        <v>0</v>
      </c>
      <c r="F37" s="40"/>
      <c r="G37" s="40"/>
      <c r="H37" s="4">
        <f>SKU[[#This Row],[Ship Qty]]*SKU[[#This Row],[Kit Items]]</f>
        <v>0</v>
      </c>
      <c r="I37" s="5">
        <f>IF(SKU[[#This Row],[Kit Code]]="", 0, VLOOKUP(SKU[[#This Row],[Kit Code]], Rate[], 3, FALSE)*SKU[[#This Row],[Kit Qty]])</f>
        <v>0</v>
      </c>
      <c r="J37" s="39"/>
      <c r="K37" s="6">
        <f>IF(SKU[[#This Row],[Commission Code]]="", 0, VLOOKUP(SKU[[#This Row],[Commission Code]], Rate[], 3, FALSE)*SKU[[#This Row],[Ship Qty]])</f>
        <v>0</v>
      </c>
      <c r="L37" s="10">
        <f>SKU[[#This Row],[Ship Cost]]+SKU[[#This Row],[Kit Cost]]+SKU[[#This Row],[Comission Cost]]</f>
        <v>0</v>
      </c>
      <c r="M37" t="str">
        <f>IF(OR(ISNA(SKU[[#This Row],[Ship Cost]]), ISNA(SKU[[#This Row],[Kit Cost]]), ISNA(SKU[[#This Row],[Comission Cost]])), "Error Accessing SAP Rate", "")</f>
        <v/>
      </c>
    </row>
    <row r="38" spans="1:13" x14ac:dyDescent="0.25">
      <c r="A38" t="s">
        <v>73</v>
      </c>
      <c r="B38" t="s">
        <v>74</v>
      </c>
      <c r="C38" s="1">
        <v>4002239</v>
      </c>
      <c r="D38" s="4">
        <f>SUMIF(Ship_SKU[SKU], SKU[[#This Row],[SKU]], Ship_SKU[Qty])</f>
        <v>0</v>
      </c>
      <c r="E38" s="5">
        <f>IF(SKU[[#This Row],[Ship Code]]="", 0, VLOOKUP(SKU[[#This Row],[Ship Code]], Rate[], 3, FALSE)*SKU[[#This Row],[Ship Qty]])</f>
        <v>0</v>
      </c>
      <c r="F38" s="1">
        <v>4002240</v>
      </c>
      <c r="G38" s="2">
        <v>3</v>
      </c>
      <c r="H38" s="4">
        <f>SKU[[#This Row],[Ship Qty]]*SKU[[#This Row],[Kit Items]]</f>
        <v>0</v>
      </c>
      <c r="I38" s="5">
        <f>IF(SKU[[#This Row],[Kit Code]]="", 0, VLOOKUP(SKU[[#This Row],[Kit Code]], Rate[], 3, FALSE)*SKU[[#This Row],[Kit Qty]])</f>
        <v>0</v>
      </c>
      <c r="J38" s="2"/>
      <c r="K38" s="6">
        <f>IF(SKU[[#This Row],[Commission Code]]="", 0, VLOOKUP(SKU[[#This Row],[Commission Code]], Rate[], 3, FALSE)*SKU[[#This Row],[Ship Qty]])</f>
        <v>0</v>
      </c>
      <c r="L38" s="10">
        <f>SKU[[#This Row],[Ship Cost]]+SKU[[#This Row],[Kit Cost]]+SKU[[#This Row],[Comission Cost]]</f>
        <v>0</v>
      </c>
      <c r="M38" t="str">
        <f>IF(OR(ISNA(SKU[[#This Row],[Ship Cost]]), ISNA(SKU[[#This Row],[Kit Cost]]), ISNA(SKU[[#This Row],[Comission Cost]])), "Error Accessing SAP Rate", "")</f>
        <v/>
      </c>
    </row>
    <row r="39" spans="1:13" x14ac:dyDescent="0.25">
      <c r="A39" t="s">
        <v>75</v>
      </c>
      <c r="B39" t="s">
        <v>76</v>
      </c>
      <c r="C39" s="1">
        <v>4002239</v>
      </c>
      <c r="D39" s="4">
        <f>SUMIF(Ship_SKU[SKU], SKU[[#This Row],[SKU]], Ship_SKU[Qty])</f>
        <v>0</v>
      </c>
      <c r="E39" s="5">
        <f>IF(SKU[[#This Row],[Ship Code]]="", 0, VLOOKUP(SKU[[#This Row],[Ship Code]], Rate[], 3, FALSE)*SKU[[#This Row],[Ship Qty]])</f>
        <v>0</v>
      </c>
      <c r="F39" s="1">
        <v>4002240</v>
      </c>
      <c r="G39" s="2">
        <v>3</v>
      </c>
      <c r="H39" s="4">
        <f>SKU[[#This Row],[Ship Qty]]*SKU[[#This Row],[Kit Items]]</f>
        <v>0</v>
      </c>
      <c r="I39" s="5">
        <f>IF(SKU[[#This Row],[Kit Code]]="", 0, VLOOKUP(SKU[[#This Row],[Kit Code]], Rate[], 3, FALSE)*SKU[[#This Row],[Kit Qty]])</f>
        <v>0</v>
      </c>
      <c r="J39" s="2"/>
      <c r="K39" s="6">
        <f>IF(SKU[[#This Row],[Commission Code]]="", 0, VLOOKUP(SKU[[#This Row],[Commission Code]], Rate[], 3, FALSE)*SKU[[#This Row],[Ship Qty]])</f>
        <v>0</v>
      </c>
      <c r="L39" s="10">
        <f>SKU[[#This Row],[Ship Cost]]+SKU[[#This Row],[Kit Cost]]+SKU[[#This Row],[Comission Cost]]</f>
        <v>0</v>
      </c>
      <c r="M39" t="str">
        <f>IF(OR(ISNA(SKU[[#This Row],[Ship Cost]]), ISNA(SKU[[#This Row],[Kit Cost]]), ISNA(SKU[[#This Row],[Comission Cost]])), "Error Accessing SAP Rate", "")</f>
        <v/>
      </c>
    </row>
    <row r="40" spans="1:13" x14ac:dyDescent="0.25">
      <c r="A40" t="s">
        <v>77</v>
      </c>
      <c r="B40" t="s">
        <v>78</v>
      </c>
      <c r="C40" s="1">
        <v>4002239</v>
      </c>
      <c r="D40" s="4">
        <f>SUMIF(Ship_SKU[SKU], SKU[[#This Row],[SKU]], Ship_SKU[Qty])</f>
        <v>0</v>
      </c>
      <c r="E40" s="5">
        <f>IF(SKU[[#This Row],[Ship Code]]="", 0, VLOOKUP(SKU[[#This Row],[Ship Code]], Rate[], 3, FALSE)*SKU[[#This Row],[Ship Qty]])</f>
        <v>0</v>
      </c>
      <c r="F40" s="1">
        <v>4002240</v>
      </c>
      <c r="G40" s="2">
        <v>3</v>
      </c>
      <c r="H40" s="4">
        <f>SKU[[#This Row],[Ship Qty]]*SKU[[#This Row],[Kit Items]]</f>
        <v>0</v>
      </c>
      <c r="I40" s="5">
        <f>IF(SKU[[#This Row],[Kit Code]]="", 0, VLOOKUP(SKU[[#This Row],[Kit Code]], Rate[], 3, FALSE)*SKU[[#This Row],[Kit Qty]])</f>
        <v>0</v>
      </c>
      <c r="J40" s="2"/>
      <c r="K40" s="6">
        <f>IF(SKU[[#This Row],[Commission Code]]="", 0, VLOOKUP(SKU[[#This Row],[Commission Code]], Rate[], 3, FALSE)*SKU[[#This Row],[Ship Qty]])</f>
        <v>0</v>
      </c>
      <c r="L40" s="10">
        <f>SKU[[#This Row],[Ship Cost]]+SKU[[#This Row],[Kit Cost]]+SKU[[#This Row],[Comission Cost]]</f>
        <v>0</v>
      </c>
      <c r="M40" t="str">
        <f>IF(OR(ISNA(SKU[[#This Row],[Ship Cost]]), ISNA(SKU[[#This Row],[Kit Cost]]), ISNA(SKU[[#This Row],[Comission Cost]])), "Error Accessing SAP Rate", "")</f>
        <v/>
      </c>
    </row>
    <row r="41" spans="1:13" x14ac:dyDescent="0.25">
      <c r="A41" t="s">
        <v>79</v>
      </c>
      <c r="B41" t="s">
        <v>80</v>
      </c>
      <c r="C41" s="1">
        <v>4002239</v>
      </c>
      <c r="D41" s="4">
        <f>SUMIF(Ship_SKU[SKU], SKU[[#This Row],[SKU]], Ship_SKU[Qty])</f>
        <v>0</v>
      </c>
      <c r="E41" s="5">
        <f>IF(SKU[[#This Row],[Ship Code]]="", 0, VLOOKUP(SKU[[#This Row],[Ship Code]], Rate[], 3, FALSE)*SKU[[#This Row],[Ship Qty]])</f>
        <v>0</v>
      </c>
      <c r="F41" s="1">
        <v>4002240</v>
      </c>
      <c r="G41" s="2">
        <v>3</v>
      </c>
      <c r="H41" s="4">
        <f>SKU[[#This Row],[Ship Qty]]*SKU[[#This Row],[Kit Items]]</f>
        <v>0</v>
      </c>
      <c r="I41" s="5">
        <f>IF(SKU[[#This Row],[Kit Code]]="", 0, VLOOKUP(SKU[[#This Row],[Kit Code]], Rate[], 3, FALSE)*SKU[[#This Row],[Kit Qty]])</f>
        <v>0</v>
      </c>
      <c r="J41" s="2"/>
      <c r="K41" s="6">
        <f>IF(SKU[[#This Row],[Commission Code]]="", 0, VLOOKUP(SKU[[#This Row],[Commission Code]], Rate[], 3, FALSE)*SKU[[#This Row],[Ship Qty]])</f>
        <v>0</v>
      </c>
      <c r="L41" s="10">
        <f>SKU[[#This Row],[Ship Cost]]+SKU[[#This Row],[Kit Cost]]+SKU[[#This Row],[Comission Cost]]</f>
        <v>0</v>
      </c>
      <c r="M41" t="str">
        <f>IF(OR(ISNA(SKU[[#This Row],[Ship Cost]]), ISNA(SKU[[#This Row],[Kit Cost]]), ISNA(SKU[[#This Row],[Comission Cost]])), "Error Accessing SAP Rate", "")</f>
        <v/>
      </c>
    </row>
    <row r="42" spans="1:13" x14ac:dyDescent="0.25">
      <c r="A42" t="s">
        <v>81</v>
      </c>
      <c r="B42" t="s">
        <v>82</v>
      </c>
      <c r="C42" s="1">
        <v>4002239</v>
      </c>
      <c r="D42" s="4">
        <f>SUMIF(Ship_SKU[SKU], SKU[[#This Row],[SKU]], Ship_SKU[Qty])</f>
        <v>0</v>
      </c>
      <c r="E42" s="5">
        <f>IF(SKU[[#This Row],[Ship Code]]="", 0, VLOOKUP(SKU[[#This Row],[Ship Code]], Rate[], 3, FALSE)*SKU[[#This Row],[Ship Qty]])</f>
        <v>0</v>
      </c>
      <c r="F42" s="1">
        <v>4002240</v>
      </c>
      <c r="G42" s="2">
        <v>3</v>
      </c>
      <c r="H42" s="4">
        <f>SKU[[#This Row],[Ship Qty]]*SKU[[#This Row],[Kit Items]]</f>
        <v>0</v>
      </c>
      <c r="I42" s="5">
        <f>IF(SKU[[#This Row],[Kit Code]]="", 0, VLOOKUP(SKU[[#This Row],[Kit Code]], Rate[], 3, FALSE)*SKU[[#This Row],[Kit Qty]])</f>
        <v>0</v>
      </c>
      <c r="J42" s="2"/>
      <c r="K42" s="6">
        <f>IF(SKU[[#This Row],[Commission Code]]="", 0, VLOOKUP(SKU[[#This Row],[Commission Code]], Rate[], 3, FALSE)*SKU[[#This Row],[Ship Qty]])</f>
        <v>0</v>
      </c>
      <c r="L42" s="10">
        <f>SKU[[#This Row],[Ship Cost]]+SKU[[#This Row],[Kit Cost]]+SKU[[#This Row],[Comission Cost]]</f>
        <v>0</v>
      </c>
      <c r="M42" t="str">
        <f>IF(OR(ISNA(SKU[[#This Row],[Ship Cost]]), ISNA(SKU[[#This Row],[Kit Cost]]), ISNA(SKU[[#This Row],[Comission Cost]])), "Error Accessing SAP Rate", "")</f>
        <v/>
      </c>
    </row>
    <row r="43" spans="1:13" x14ac:dyDescent="0.25">
      <c r="A43" t="s">
        <v>83</v>
      </c>
      <c r="B43" t="s">
        <v>84</v>
      </c>
      <c r="C43" s="1">
        <v>4002239</v>
      </c>
      <c r="D43" s="4">
        <f>SUMIF(Ship_SKU[SKU], SKU[[#This Row],[SKU]], Ship_SKU[Qty])</f>
        <v>0</v>
      </c>
      <c r="E43" s="5">
        <f>IF(SKU[[#This Row],[Ship Code]]="", 0, VLOOKUP(SKU[[#This Row],[Ship Code]], Rate[], 3, FALSE)*SKU[[#This Row],[Ship Qty]])</f>
        <v>0</v>
      </c>
      <c r="F43" s="1">
        <v>4002240</v>
      </c>
      <c r="G43" s="2">
        <v>3</v>
      </c>
      <c r="H43" s="4">
        <f>SKU[[#This Row],[Ship Qty]]*SKU[[#This Row],[Kit Items]]</f>
        <v>0</v>
      </c>
      <c r="I43" s="5">
        <f>IF(SKU[[#This Row],[Kit Code]]="", 0, VLOOKUP(SKU[[#This Row],[Kit Code]], Rate[], 3, FALSE)*SKU[[#This Row],[Kit Qty]])</f>
        <v>0</v>
      </c>
      <c r="J43" s="2"/>
      <c r="K43" s="6">
        <f>IF(SKU[[#This Row],[Commission Code]]="", 0, VLOOKUP(SKU[[#This Row],[Commission Code]], Rate[], 3, FALSE)*SKU[[#This Row],[Ship Qty]])</f>
        <v>0</v>
      </c>
      <c r="L43" s="10">
        <f>SKU[[#This Row],[Ship Cost]]+SKU[[#This Row],[Kit Cost]]+SKU[[#This Row],[Comission Cost]]</f>
        <v>0</v>
      </c>
      <c r="M43" t="str">
        <f>IF(OR(ISNA(SKU[[#This Row],[Ship Cost]]), ISNA(SKU[[#This Row],[Kit Cost]]), ISNA(SKU[[#This Row],[Comission Cost]])), "Error Accessing SAP Rate", "")</f>
        <v/>
      </c>
    </row>
    <row r="44" spans="1:13" x14ac:dyDescent="0.25">
      <c r="A44" t="s">
        <v>85</v>
      </c>
      <c r="B44" t="s">
        <v>86</v>
      </c>
      <c r="C44" s="1">
        <v>4002239</v>
      </c>
      <c r="D44" s="4">
        <f>SUMIF(Ship_SKU[SKU], SKU[[#This Row],[SKU]], Ship_SKU[Qty])</f>
        <v>0</v>
      </c>
      <c r="E44" s="5">
        <f>IF(SKU[[#This Row],[Ship Code]]="", 0, VLOOKUP(SKU[[#This Row],[Ship Code]], Rate[], 3, FALSE)*SKU[[#This Row],[Ship Qty]])</f>
        <v>0</v>
      </c>
      <c r="F44" s="1">
        <v>4002240</v>
      </c>
      <c r="G44" s="2">
        <v>3</v>
      </c>
      <c r="H44" s="4">
        <f>SKU[[#This Row],[Ship Qty]]*SKU[[#This Row],[Kit Items]]</f>
        <v>0</v>
      </c>
      <c r="I44" s="5">
        <f>IF(SKU[[#This Row],[Kit Code]]="", 0, VLOOKUP(SKU[[#This Row],[Kit Code]], Rate[], 3, FALSE)*SKU[[#This Row],[Kit Qty]])</f>
        <v>0</v>
      </c>
      <c r="J44" s="2"/>
      <c r="K44" s="6">
        <f>IF(SKU[[#This Row],[Commission Code]]="", 0, VLOOKUP(SKU[[#This Row],[Commission Code]], Rate[], 3, FALSE)*SKU[[#This Row],[Ship Qty]])</f>
        <v>0</v>
      </c>
      <c r="L44" s="10">
        <f>SKU[[#This Row],[Ship Cost]]+SKU[[#This Row],[Kit Cost]]+SKU[[#This Row],[Comission Cost]]</f>
        <v>0</v>
      </c>
      <c r="M44" t="str">
        <f>IF(OR(ISNA(SKU[[#This Row],[Ship Cost]]), ISNA(SKU[[#This Row],[Kit Cost]]), ISNA(SKU[[#This Row],[Comission Cost]])), "Error Accessing SAP Rate", "")</f>
        <v/>
      </c>
    </row>
    <row r="45" spans="1:13" x14ac:dyDescent="0.25">
      <c r="A45" t="s">
        <v>87</v>
      </c>
      <c r="B45" t="s">
        <v>88</v>
      </c>
      <c r="C45" s="1">
        <v>4002239</v>
      </c>
      <c r="D45" s="4">
        <f>SUMIF(Ship_SKU[SKU], SKU[[#This Row],[SKU]], Ship_SKU[Qty])</f>
        <v>0</v>
      </c>
      <c r="E45" s="5">
        <f>IF(SKU[[#This Row],[Ship Code]]="", 0, VLOOKUP(SKU[[#This Row],[Ship Code]], Rate[], 3, FALSE)*SKU[[#This Row],[Ship Qty]])</f>
        <v>0</v>
      </c>
      <c r="F45" s="1">
        <v>4002240</v>
      </c>
      <c r="G45" s="2">
        <v>3</v>
      </c>
      <c r="H45" s="4">
        <f>SKU[[#This Row],[Ship Qty]]*SKU[[#This Row],[Kit Items]]</f>
        <v>0</v>
      </c>
      <c r="I45" s="5">
        <f>IF(SKU[[#This Row],[Kit Code]]="", 0, VLOOKUP(SKU[[#This Row],[Kit Code]], Rate[], 3, FALSE)*SKU[[#This Row],[Kit Qty]])</f>
        <v>0</v>
      </c>
      <c r="J45" s="2"/>
      <c r="K45" s="6">
        <f>IF(SKU[[#This Row],[Commission Code]]="", 0, VLOOKUP(SKU[[#This Row],[Commission Code]], Rate[], 3, FALSE)*SKU[[#This Row],[Ship Qty]])</f>
        <v>0</v>
      </c>
      <c r="L45" s="10">
        <f>SKU[[#This Row],[Ship Cost]]+SKU[[#This Row],[Kit Cost]]+SKU[[#This Row],[Comission Cost]]</f>
        <v>0</v>
      </c>
      <c r="M45" t="str">
        <f>IF(OR(ISNA(SKU[[#This Row],[Ship Cost]]), ISNA(SKU[[#This Row],[Kit Cost]]), ISNA(SKU[[#This Row],[Comission Cost]])), "Error Accessing SAP Rate", "")</f>
        <v/>
      </c>
    </row>
    <row r="46" spans="1:13" x14ac:dyDescent="0.25">
      <c r="A46" t="s">
        <v>89</v>
      </c>
      <c r="B46" t="s">
        <v>90</v>
      </c>
      <c r="C46" s="1">
        <v>4002239</v>
      </c>
      <c r="D46" s="4">
        <f>SUMIF(Ship_SKU[SKU], SKU[[#This Row],[SKU]], Ship_SKU[Qty])</f>
        <v>0</v>
      </c>
      <c r="E46" s="5">
        <f>IF(SKU[[#This Row],[Ship Code]]="", 0, VLOOKUP(SKU[[#This Row],[Ship Code]], Rate[], 3, FALSE)*SKU[[#This Row],[Ship Qty]])</f>
        <v>0</v>
      </c>
      <c r="F46" s="1">
        <v>4002240</v>
      </c>
      <c r="G46" s="2">
        <v>3</v>
      </c>
      <c r="H46" s="4">
        <f>SKU[[#This Row],[Ship Qty]]*SKU[[#This Row],[Kit Items]]</f>
        <v>0</v>
      </c>
      <c r="I46" s="5">
        <f>IF(SKU[[#This Row],[Kit Code]]="", 0, VLOOKUP(SKU[[#This Row],[Kit Code]], Rate[], 3, FALSE)*SKU[[#This Row],[Kit Qty]])</f>
        <v>0</v>
      </c>
      <c r="J46" s="2"/>
      <c r="K46" s="6">
        <f>IF(SKU[[#This Row],[Commission Code]]="", 0, VLOOKUP(SKU[[#This Row],[Commission Code]], Rate[], 3, FALSE)*SKU[[#This Row],[Ship Qty]])</f>
        <v>0</v>
      </c>
      <c r="L46" s="10">
        <f>SKU[[#This Row],[Ship Cost]]+SKU[[#This Row],[Kit Cost]]+SKU[[#This Row],[Comission Cost]]</f>
        <v>0</v>
      </c>
      <c r="M46" t="str">
        <f>IF(OR(ISNA(SKU[[#This Row],[Ship Cost]]), ISNA(SKU[[#This Row],[Kit Cost]]), ISNA(SKU[[#This Row],[Comission Cost]])), "Error Accessing SAP Rate", "")</f>
        <v/>
      </c>
    </row>
    <row r="47" spans="1:13" x14ac:dyDescent="0.25">
      <c r="A47" s="38" t="s">
        <v>218</v>
      </c>
      <c r="B47" s="38" t="s">
        <v>223</v>
      </c>
      <c r="C47" s="39">
        <v>4002239</v>
      </c>
      <c r="D47" s="4">
        <f>SUMIF(Ship_SKU[SKU], SKU[[#This Row],[SKU]], Ship_SKU[Qty])</f>
        <v>0</v>
      </c>
      <c r="E47" s="5">
        <f>IF(SKU[[#This Row],[Ship Code]]="", 0, VLOOKUP(SKU[[#This Row],[Ship Code]], Rate[], 3, FALSE)*SKU[[#This Row],[Ship Qty]])</f>
        <v>0</v>
      </c>
      <c r="F47" s="40"/>
      <c r="G47" s="40"/>
      <c r="H47" s="4">
        <f>SKU[[#This Row],[Ship Qty]]*SKU[[#This Row],[Kit Items]]</f>
        <v>0</v>
      </c>
      <c r="I47" s="5">
        <f>IF(SKU[[#This Row],[Kit Code]]="", 0, VLOOKUP(SKU[[#This Row],[Kit Code]], Rate[], 3, FALSE)*SKU[[#This Row],[Kit Qty]])</f>
        <v>0</v>
      </c>
      <c r="J47" s="39"/>
      <c r="K47" s="6">
        <f>IF(SKU[[#This Row],[Commission Code]]="", 0, VLOOKUP(SKU[[#This Row],[Commission Code]], Rate[], 3, FALSE)*SKU[[#This Row],[Ship Qty]])</f>
        <v>0</v>
      </c>
      <c r="L47" s="10">
        <f>SKU[[#This Row],[Ship Cost]]+SKU[[#This Row],[Kit Cost]]+SKU[[#This Row],[Comission Cost]]</f>
        <v>0</v>
      </c>
      <c r="M47" t="str">
        <f>IF(OR(ISNA(SKU[[#This Row],[Ship Cost]]), ISNA(SKU[[#This Row],[Kit Cost]]), ISNA(SKU[[#This Row],[Comission Cost]])), "Error Accessing SAP Rate", "")</f>
        <v/>
      </c>
    </row>
    <row r="48" spans="1:13" x14ac:dyDescent="0.25">
      <c r="A48" t="s">
        <v>91</v>
      </c>
      <c r="B48" t="s">
        <v>92</v>
      </c>
      <c r="C48" s="1">
        <v>4002239</v>
      </c>
      <c r="D48" s="4">
        <f>SUMIF(Ship_SKU[SKU], SKU[[#This Row],[SKU]], Ship_SKU[Qty])</f>
        <v>0</v>
      </c>
      <c r="E48" s="5">
        <f>IF(SKU[[#This Row],[Ship Code]]="", 0, VLOOKUP(SKU[[#This Row],[Ship Code]], Rate[], 3, FALSE)*SKU[[#This Row],[Ship Qty]])</f>
        <v>0</v>
      </c>
      <c r="F48" s="1">
        <v>4002240</v>
      </c>
      <c r="G48" s="2">
        <v>3</v>
      </c>
      <c r="H48" s="4">
        <f>SKU[[#This Row],[Ship Qty]]*SKU[[#This Row],[Kit Items]]</f>
        <v>0</v>
      </c>
      <c r="I48" s="5">
        <f>IF(SKU[[#This Row],[Kit Code]]="", 0, VLOOKUP(SKU[[#This Row],[Kit Code]], Rate[], 3, FALSE)*SKU[[#This Row],[Kit Qty]])</f>
        <v>0</v>
      </c>
      <c r="J48" s="2"/>
      <c r="K48" s="6">
        <f>IF(SKU[[#This Row],[Commission Code]]="", 0, VLOOKUP(SKU[[#This Row],[Commission Code]], Rate[], 3, FALSE)*SKU[[#This Row],[Ship Qty]])</f>
        <v>0</v>
      </c>
      <c r="L48" s="10">
        <f>SKU[[#This Row],[Ship Cost]]+SKU[[#This Row],[Kit Cost]]+SKU[[#This Row],[Comission Cost]]</f>
        <v>0</v>
      </c>
      <c r="M48" t="str">
        <f>IF(OR(ISNA(SKU[[#This Row],[Ship Cost]]), ISNA(SKU[[#This Row],[Kit Cost]]), ISNA(SKU[[#This Row],[Comission Cost]])), "Error Accessing SAP Rate", "")</f>
        <v/>
      </c>
    </row>
    <row r="49" spans="1:13" x14ac:dyDescent="0.25">
      <c r="A49" t="s">
        <v>14</v>
      </c>
      <c r="B49" t="s">
        <v>15</v>
      </c>
      <c r="C49" s="1">
        <v>4002239</v>
      </c>
      <c r="D49" s="4">
        <f>SUMIF(Ship_SKU[SKU], SKU[[#This Row],[SKU]], Ship_SKU[Qty])</f>
        <v>4</v>
      </c>
      <c r="E49" s="5">
        <f>IF(SKU[[#This Row],[Ship Code]]="", 0, VLOOKUP(SKU[[#This Row],[Ship Code]], Rate[], 3, FALSE)*SKU[[#This Row],[Ship Qty]])</f>
        <v>9.92</v>
      </c>
      <c r="F49" s="1">
        <v>4002240</v>
      </c>
      <c r="G49" s="2">
        <v>3</v>
      </c>
      <c r="H49" s="4">
        <f>SKU[[#This Row],[Ship Qty]]*SKU[[#This Row],[Kit Items]]</f>
        <v>12</v>
      </c>
      <c r="I49" s="5">
        <f>IF(SKU[[#This Row],[Kit Code]]="", 0, VLOOKUP(SKU[[#This Row],[Kit Code]], Rate[], 3, FALSE)*SKU[[#This Row],[Kit Qty]])</f>
        <v>22.68</v>
      </c>
      <c r="J49" s="2"/>
      <c r="K49" s="6">
        <f>IF(SKU[[#This Row],[Commission Code]]="", 0, VLOOKUP(SKU[[#This Row],[Commission Code]], Rate[], 3, FALSE)*SKU[[#This Row],[Ship Qty]])</f>
        <v>0</v>
      </c>
      <c r="L49" s="10">
        <f>SKU[[#This Row],[Ship Cost]]+SKU[[#This Row],[Kit Cost]]+SKU[[#This Row],[Comission Cost]]</f>
        <v>32.6</v>
      </c>
      <c r="M49" t="str">
        <f>IF(OR(ISNA(SKU[[#This Row],[Ship Cost]]), ISNA(SKU[[#This Row],[Kit Cost]]), ISNA(SKU[[#This Row],[Comission Cost]])), "Error Accessing SAP Rate", "")</f>
        <v/>
      </c>
    </row>
    <row r="50" spans="1:13" x14ac:dyDescent="0.25">
      <c r="A50" t="s">
        <v>93</v>
      </c>
      <c r="B50" t="s">
        <v>94</v>
      </c>
      <c r="C50" s="1">
        <v>4002239</v>
      </c>
      <c r="D50" s="4">
        <f>SUMIF(Ship_SKU[SKU], SKU[[#This Row],[SKU]], Ship_SKU[Qty])</f>
        <v>0</v>
      </c>
      <c r="E50" s="5">
        <f>IF(SKU[[#This Row],[Ship Code]]="", 0, VLOOKUP(SKU[[#This Row],[Ship Code]], Rate[], 3, FALSE)*SKU[[#This Row],[Ship Qty]])</f>
        <v>0</v>
      </c>
      <c r="F50" s="1">
        <v>4002240</v>
      </c>
      <c r="G50" s="2">
        <v>3</v>
      </c>
      <c r="H50" s="4">
        <f>SKU[[#This Row],[Ship Qty]]*SKU[[#This Row],[Kit Items]]</f>
        <v>0</v>
      </c>
      <c r="I50" s="5">
        <f>IF(SKU[[#This Row],[Kit Code]]="", 0, VLOOKUP(SKU[[#This Row],[Kit Code]], Rate[], 3, FALSE)*SKU[[#This Row],[Kit Qty]])</f>
        <v>0</v>
      </c>
      <c r="J50" s="2"/>
      <c r="K50" s="6">
        <f>IF(SKU[[#This Row],[Commission Code]]="", 0, VLOOKUP(SKU[[#This Row],[Commission Code]], Rate[], 3, FALSE)*SKU[[#This Row],[Ship Qty]])</f>
        <v>0</v>
      </c>
      <c r="L50" s="10">
        <f>SKU[[#This Row],[Ship Cost]]+SKU[[#This Row],[Kit Cost]]+SKU[[#This Row],[Comission Cost]]</f>
        <v>0</v>
      </c>
      <c r="M50" t="str">
        <f>IF(OR(ISNA(SKU[[#This Row],[Ship Cost]]), ISNA(SKU[[#This Row],[Kit Cost]]), ISNA(SKU[[#This Row],[Comission Cost]])), "Error Accessing SAP Rate", "")</f>
        <v/>
      </c>
    </row>
    <row r="51" spans="1:13" x14ac:dyDescent="0.25">
      <c r="A51" t="s">
        <v>95</v>
      </c>
      <c r="B51" t="s">
        <v>96</v>
      </c>
      <c r="C51" s="39">
        <v>4002239</v>
      </c>
      <c r="D51" s="4">
        <f>SUMIF(Ship_SKU[SKU], SKU[[#This Row],[SKU]], Ship_SKU[Qty])</f>
        <v>0</v>
      </c>
      <c r="E51" s="5">
        <f>IF(SKU[[#This Row],[Ship Code]]="", 0, VLOOKUP(SKU[[#This Row],[Ship Code]], Rate[], 3, FALSE)*SKU[[#This Row],[Ship Qty]])</f>
        <v>0</v>
      </c>
      <c r="F51" s="39">
        <v>4002240</v>
      </c>
      <c r="G51" s="40">
        <v>1</v>
      </c>
      <c r="H51" s="4">
        <f>SKU[[#This Row],[Ship Qty]]*SKU[[#This Row],[Kit Items]]</f>
        <v>0</v>
      </c>
      <c r="I51" s="5">
        <f>IF(SKU[[#This Row],[Kit Code]]="", 0, VLOOKUP(SKU[[#This Row],[Kit Code]], Rate[], 3, FALSE)*SKU[[#This Row],[Kit Qty]])</f>
        <v>0</v>
      </c>
      <c r="J51" s="40"/>
      <c r="K51" s="6">
        <f>IF(SKU[[#This Row],[Commission Code]]="", 0, VLOOKUP(SKU[[#This Row],[Commission Code]], Rate[], 3, FALSE)*SKU[[#This Row],[Ship Qty]])</f>
        <v>0</v>
      </c>
      <c r="L51" s="10">
        <f>SKU[[#This Row],[Ship Cost]]+SKU[[#This Row],[Kit Cost]]+SKU[[#This Row],[Comission Cost]]</f>
        <v>0</v>
      </c>
      <c r="M51" t="str">
        <f>IF(OR(ISNA(SKU[[#This Row],[Ship Cost]]), ISNA(SKU[[#This Row],[Kit Cost]]), ISNA(SKU[[#This Row],[Comission Cost]])), "Error Accessing SAP Rate", "")</f>
        <v/>
      </c>
    </row>
    <row r="52" spans="1:13" x14ac:dyDescent="0.25">
      <c r="A52" s="38" t="s">
        <v>217</v>
      </c>
      <c r="B52" s="38" t="s">
        <v>222</v>
      </c>
      <c r="C52" s="39">
        <v>4002239</v>
      </c>
      <c r="D52" s="4">
        <f>SUMIF(Ship_SKU[SKU], SKU[[#This Row],[SKU]], Ship_SKU[Qty])</f>
        <v>0</v>
      </c>
      <c r="E52" s="5">
        <f>IF(SKU[[#This Row],[Ship Code]]="", 0, VLOOKUP(SKU[[#This Row],[Ship Code]], Rate[], 3, FALSE)*SKU[[#This Row],[Ship Qty]])</f>
        <v>0</v>
      </c>
      <c r="F52" s="40"/>
      <c r="G52" s="40"/>
      <c r="H52" s="4">
        <f>SKU[[#This Row],[Ship Qty]]*SKU[[#This Row],[Kit Items]]</f>
        <v>0</v>
      </c>
      <c r="I52" s="5">
        <f>IF(SKU[[#This Row],[Kit Code]]="", 0, VLOOKUP(SKU[[#This Row],[Kit Code]], Rate[], 3, FALSE)*SKU[[#This Row],[Kit Qty]])</f>
        <v>0</v>
      </c>
      <c r="J52" s="39"/>
      <c r="K52" s="6">
        <f>IF(SKU[[#This Row],[Commission Code]]="", 0, VLOOKUP(SKU[[#This Row],[Commission Code]], Rate[], 3, FALSE)*SKU[[#This Row],[Ship Qty]])</f>
        <v>0</v>
      </c>
      <c r="L52" s="10">
        <f>SKU[[#This Row],[Ship Cost]]+SKU[[#This Row],[Kit Cost]]+SKU[[#This Row],[Comission Cost]]</f>
        <v>0</v>
      </c>
      <c r="M52" t="str">
        <f>IF(OR(ISNA(SKU[[#This Row],[Ship Cost]]), ISNA(SKU[[#This Row],[Kit Cost]]), ISNA(SKU[[#This Row],[Comission Cost]])), "Error Accessing SAP Rate", "")</f>
        <v/>
      </c>
    </row>
    <row r="53" spans="1:13" x14ac:dyDescent="0.25">
      <c r="A53" t="s">
        <v>97</v>
      </c>
      <c r="B53" t="s">
        <v>98</v>
      </c>
      <c r="C53" s="39">
        <v>4002239</v>
      </c>
      <c r="D53" s="4">
        <f>SUMIF(Ship_SKU[SKU], SKU[[#This Row],[SKU]], Ship_SKU[Qty])</f>
        <v>0</v>
      </c>
      <c r="E53" s="5">
        <f>IF(SKU[[#This Row],[Ship Code]]="", 0, VLOOKUP(SKU[[#This Row],[Ship Code]], Rate[], 3, FALSE)*SKU[[#This Row],[Ship Qty]])</f>
        <v>0</v>
      </c>
      <c r="F53" s="39">
        <v>4002240</v>
      </c>
      <c r="G53" s="40">
        <v>1</v>
      </c>
      <c r="H53" s="4">
        <f>SKU[[#This Row],[Ship Qty]]*SKU[[#This Row],[Kit Items]]</f>
        <v>0</v>
      </c>
      <c r="I53" s="5">
        <f>IF(SKU[[#This Row],[Kit Code]]="", 0, VLOOKUP(SKU[[#This Row],[Kit Code]], Rate[], 3, FALSE)*SKU[[#This Row],[Kit Qty]])</f>
        <v>0</v>
      </c>
      <c r="J53" s="40"/>
      <c r="K53" s="6">
        <f>IF(SKU[[#This Row],[Commission Code]]="", 0, VLOOKUP(SKU[[#This Row],[Commission Code]], Rate[], 3, FALSE)*SKU[[#This Row],[Ship Qty]])</f>
        <v>0</v>
      </c>
      <c r="L53" s="10">
        <f>SKU[[#This Row],[Ship Cost]]+SKU[[#This Row],[Kit Cost]]+SKU[[#This Row],[Comission Cost]]</f>
        <v>0</v>
      </c>
      <c r="M53" t="str">
        <f>IF(OR(ISNA(SKU[[#This Row],[Ship Cost]]), ISNA(SKU[[#This Row],[Kit Cost]]), ISNA(SKU[[#This Row],[Comission Cost]])), "Error Accessing SAP Rate", "")</f>
        <v/>
      </c>
    </row>
    <row r="54" spans="1:13" x14ac:dyDescent="0.25">
      <c r="A54" t="s">
        <v>99</v>
      </c>
      <c r="B54" t="s">
        <v>100</v>
      </c>
      <c r="C54" s="1">
        <v>4002239</v>
      </c>
      <c r="D54" s="4">
        <f>SUMIF(Ship_SKU[SKU], SKU[[#This Row],[SKU]], Ship_SKU[Qty])</f>
        <v>0</v>
      </c>
      <c r="E54" s="5">
        <f>IF(SKU[[#This Row],[Ship Code]]="", 0, VLOOKUP(SKU[[#This Row],[Ship Code]], Rate[], 3, FALSE)*SKU[[#This Row],[Ship Qty]])</f>
        <v>0</v>
      </c>
      <c r="F54" s="1">
        <v>4002240</v>
      </c>
      <c r="G54" s="2">
        <v>1</v>
      </c>
      <c r="H54" s="4">
        <f>SKU[[#This Row],[Ship Qty]]*SKU[[#This Row],[Kit Items]]</f>
        <v>0</v>
      </c>
      <c r="I54" s="5">
        <f>IF(SKU[[#This Row],[Kit Code]]="", 0, VLOOKUP(SKU[[#This Row],[Kit Code]], Rate[], 3, FALSE)*SKU[[#This Row],[Kit Qty]])</f>
        <v>0</v>
      </c>
      <c r="J54" s="2"/>
      <c r="K54" s="6">
        <f>IF(SKU[[#This Row],[Commission Code]]="", 0, VLOOKUP(SKU[[#This Row],[Commission Code]], Rate[], 3, FALSE)*SKU[[#This Row],[Ship Qty]])</f>
        <v>0</v>
      </c>
      <c r="L54" s="10">
        <f>SKU[[#This Row],[Ship Cost]]+SKU[[#This Row],[Kit Cost]]+SKU[[#This Row],[Comission Cost]]</f>
        <v>0</v>
      </c>
      <c r="M54" t="str">
        <f>IF(OR(ISNA(SKU[[#This Row],[Ship Cost]]), ISNA(SKU[[#This Row],[Kit Cost]]), ISNA(SKU[[#This Row],[Comission Cost]])), "Error Accessing SAP Rate", "")</f>
        <v/>
      </c>
    </row>
    <row r="55" spans="1:13" x14ac:dyDescent="0.25">
      <c r="A55" t="s">
        <v>101</v>
      </c>
      <c r="B55" t="s">
        <v>102</v>
      </c>
      <c r="C55" s="1">
        <v>4002239</v>
      </c>
      <c r="D55" s="4">
        <f>SUMIF(Ship_SKU[SKU], SKU[[#This Row],[SKU]], Ship_SKU[Qty])</f>
        <v>0</v>
      </c>
      <c r="E55" s="5">
        <f>IF(SKU[[#This Row],[Ship Code]]="", 0, VLOOKUP(SKU[[#This Row],[Ship Code]], Rate[], 3, FALSE)*SKU[[#This Row],[Ship Qty]])</f>
        <v>0</v>
      </c>
      <c r="F55" s="1">
        <v>4002240</v>
      </c>
      <c r="G55" s="2">
        <v>1</v>
      </c>
      <c r="H55" s="4">
        <f>SKU[[#This Row],[Ship Qty]]*SKU[[#This Row],[Kit Items]]</f>
        <v>0</v>
      </c>
      <c r="I55" s="5">
        <f>IF(SKU[[#This Row],[Kit Code]]="", 0, VLOOKUP(SKU[[#This Row],[Kit Code]], Rate[], 3, FALSE)*SKU[[#This Row],[Kit Qty]])</f>
        <v>0</v>
      </c>
      <c r="J55" s="2"/>
      <c r="K55" s="6">
        <f>IF(SKU[[#This Row],[Commission Code]]="", 0, VLOOKUP(SKU[[#This Row],[Commission Code]], Rate[], 3, FALSE)*SKU[[#This Row],[Ship Qty]])</f>
        <v>0</v>
      </c>
      <c r="L55" s="10">
        <f>SKU[[#This Row],[Ship Cost]]+SKU[[#This Row],[Kit Cost]]+SKU[[#This Row],[Comission Cost]]</f>
        <v>0</v>
      </c>
      <c r="M55" t="str">
        <f>IF(OR(ISNA(SKU[[#This Row],[Ship Cost]]), ISNA(SKU[[#This Row],[Kit Cost]]), ISNA(SKU[[#This Row],[Comission Cost]])), "Error Accessing SAP Rate", "")</f>
        <v/>
      </c>
    </row>
    <row r="56" spans="1:13" x14ac:dyDescent="0.25">
      <c r="A56" t="s">
        <v>103</v>
      </c>
      <c r="B56" t="s">
        <v>104</v>
      </c>
      <c r="C56" s="1">
        <v>4002239</v>
      </c>
      <c r="D56" s="4">
        <f>SUMIF(Ship_SKU[SKU], SKU[[#This Row],[SKU]], Ship_SKU[Qty])</f>
        <v>0</v>
      </c>
      <c r="E56" s="5">
        <f>IF(SKU[[#This Row],[Ship Code]]="", 0, VLOOKUP(SKU[[#This Row],[Ship Code]], Rate[], 3, FALSE)*SKU[[#This Row],[Ship Qty]])</f>
        <v>0</v>
      </c>
      <c r="F56" s="1">
        <v>4002240</v>
      </c>
      <c r="G56" s="2">
        <v>1</v>
      </c>
      <c r="H56" s="4">
        <f>SKU[[#This Row],[Ship Qty]]*SKU[[#This Row],[Kit Items]]</f>
        <v>0</v>
      </c>
      <c r="I56" s="5">
        <f>IF(SKU[[#This Row],[Kit Code]]="", 0, VLOOKUP(SKU[[#This Row],[Kit Code]], Rate[], 3, FALSE)*SKU[[#This Row],[Kit Qty]])</f>
        <v>0</v>
      </c>
      <c r="J56" s="2"/>
      <c r="K56" s="6">
        <f>IF(SKU[[#This Row],[Commission Code]]="", 0, VLOOKUP(SKU[[#This Row],[Commission Code]], Rate[], 3, FALSE)*SKU[[#This Row],[Ship Qty]])</f>
        <v>0</v>
      </c>
      <c r="L56" s="10">
        <f>SKU[[#This Row],[Ship Cost]]+SKU[[#This Row],[Kit Cost]]+SKU[[#This Row],[Comission Cost]]</f>
        <v>0</v>
      </c>
      <c r="M56" t="str">
        <f>IF(OR(ISNA(SKU[[#This Row],[Ship Cost]]), ISNA(SKU[[#This Row],[Kit Cost]]), ISNA(SKU[[#This Row],[Comission Cost]])), "Error Accessing SAP Rate", "")</f>
        <v/>
      </c>
    </row>
    <row r="57" spans="1:13" x14ac:dyDescent="0.25">
      <c r="A57" t="s">
        <v>105</v>
      </c>
      <c r="B57" t="s">
        <v>106</v>
      </c>
      <c r="C57" s="1">
        <v>4002239</v>
      </c>
      <c r="D57" s="4">
        <f>SUMIF(Ship_SKU[SKU], SKU[[#This Row],[SKU]], Ship_SKU[Qty])</f>
        <v>0</v>
      </c>
      <c r="E57" s="5">
        <f>IF(SKU[[#This Row],[Ship Code]]="", 0, VLOOKUP(SKU[[#This Row],[Ship Code]], Rate[], 3, FALSE)*SKU[[#This Row],[Ship Qty]])</f>
        <v>0</v>
      </c>
      <c r="F57" s="1">
        <v>4002240</v>
      </c>
      <c r="G57" s="2">
        <v>1</v>
      </c>
      <c r="H57" s="4">
        <f>SKU[[#This Row],[Ship Qty]]*SKU[[#This Row],[Kit Items]]</f>
        <v>0</v>
      </c>
      <c r="I57" s="5">
        <f>IF(SKU[[#This Row],[Kit Code]]="", 0, VLOOKUP(SKU[[#This Row],[Kit Code]], Rate[], 3, FALSE)*SKU[[#This Row],[Kit Qty]])</f>
        <v>0</v>
      </c>
      <c r="J57" s="2"/>
      <c r="K57" s="6">
        <f>IF(SKU[[#This Row],[Commission Code]]="", 0, VLOOKUP(SKU[[#This Row],[Commission Code]], Rate[], 3, FALSE)*SKU[[#This Row],[Ship Qty]])</f>
        <v>0</v>
      </c>
      <c r="L57" s="10">
        <f>SKU[[#This Row],[Ship Cost]]+SKU[[#This Row],[Kit Cost]]+SKU[[#This Row],[Comission Cost]]</f>
        <v>0</v>
      </c>
      <c r="M57" t="str">
        <f>IF(OR(ISNA(SKU[[#This Row],[Ship Cost]]), ISNA(SKU[[#This Row],[Kit Cost]]), ISNA(SKU[[#This Row],[Comission Cost]])), "Error Accessing SAP Rate", "")</f>
        <v/>
      </c>
    </row>
    <row r="58" spans="1:13" x14ac:dyDescent="0.25">
      <c r="A58" t="s">
        <v>107</v>
      </c>
      <c r="B58" t="s">
        <v>108</v>
      </c>
      <c r="C58" s="1">
        <v>4002239</v>
      </c>
      <c r="D58" s="4">
        <f>SUMIF(Ship_SKU[SKU], SKU[[#This Row],[SKU]], Ship_SKU[Qty])</f>
        <v>0</v>
      </c>
      <c r="E58" s="5">
        <f>IF(SKU[[#This Row],[Ship Code]]="", 0, VLOOKUP(SKU[[#This Row],[Ship Code]], Rate[], 3, FALSE)*SKU[[#This Row],[Ship Qty]])</f>
        <v>0</v>
      </c>
      <c r="F58" s="1">
        <v>4002240</v>
      </c>
      <c r="G58" s="2">
        <v>1</v>
      </c>
      <c r="H58" s="4">
        <f>SKU[[#This Row],[Ship Qty]]*SKU[[#This Row],[Kit Items]]</f>
        <v>0</v>
      </c>
      <c r="I58" s="5">
        <f>IF(SKU[[#This Row],[Kit Code]]="", 0, VLOOKUP(SKU[[#This Row],[Kit Code]], Rate[], 3, FALSE)*SKU[[#This Row],[Kit Qty]])</f>
        <v>0</v>
      </c>
      <c r="J58" s="2"/>
      <c r="K58" s="6">
        <f>IF(SKU[[#This Row],[Commission Code]]="", 0, VLOOKUP(SKU[[#This Row],[Commission Code]], Rate[], 3, FALSE)*SKU[[#This Row],[Ship Qty]])</f>
        <v>0</v>
      </c>
      <c r="L58" s="10">
        <f>SKU[[#This Row],[Ship Cost]]+SKU[[#This Row],[Kit Cost]]+SKU[[#This Row],[Comission Cost]]</f>
        <v>0</v>
      </c>
      <c r="M58" t="str">
        <f>IF(OR(ISNA(SKU[[#This Row],[Ship Cost]]), ISNA(SKU[[#This Row],[Kit Cost]]), ISNA(SKU[[#This Row],[Comission Cost]])), "Error Accessing SAP Rate", "")</f>
        <v/>
      </c>
    </row>
    <row r="59" spans="1:13" x14ac:dyDescent="0.25">
      <c r="A59" t="s">
        <v>109</v>
      </c>
      <c r="B59" t="s">
        <v>110</v>
      </c>
      <c r="C59" s="1">
        <v>4002239</v>
      </c>
      <c r="D59" s="4">
        <f>SUMIF(Ship_SKU[SKU], SKU[[#This Row],[SKU]], Ship_SKU[Qty])</f>
        <v>0</v>
      </c>
      <c r="E59" s="5">
        <f>IF(SKU[[#This Row],[Ship Code]]="", 0, VLOOKUP(SKU[[#This Row],[Ship Code]], Rate[], 3, FALSE)*SKU[[#This Row],[Ship Qty]])</f>
        <v>0</v>
      </c>
      <c r="F59" s="1">
        <v>4002240</v>
      </c>
      <c r="G59" s="2">
        <v>1</v>
      </c>
      <c r="H59" s="4">
        <f>SKU[[#This Row],[Ship Qty]]*SKU[[#This Row],[Kit Items]]</f>
        <v>0</v>
      </c>
      <c r="I59" s="5">
        <f>IF(SKU[[#This Row],[Kit Code]]="", 0, VLOOKUP(SKU[[#This Row],[Kit Code]], Rate[], 3, FALSE)*SKU[[#This Row],[Kit Qty]])</f>
        <v>0</v>
      </c>
      <c r="J59" s="2"/>
      <c r="K59" s="6">
        <f>IF(SKU[[#This Row],[Commission Code]]="", 0, VLOOKUP(SKU[[#This Row],[Commission Code]], Rate[], 3, FALSE)*SKU[[#This Row],[Ship Qty]])</f>
        <v>0</v>
      </c>
      <c r="L59" s="10">
        <f>SKU[[#This Row],[Ship Cost]]+SKU[[#This Row],[Kit Cost]]+SKU[[#This Row],[Comission Cost]]</f>
        <v>0</v>
      </c>
      <c r="M59" t="str">
        <f>IF(OR(ISNA(SKU[[#This Row],[Ship Cost]]), ISNA(SKU[[#This Row],[Kit Cost]]), ISNA(SKU[[#This Row],[Comission Cost]])), "Error Accessing SAP Rate", "")</f>
        <v/>
      </c>
    </row>
    <row r="60" spans="1:13" x14ac:dyDescent="0.25">
      <c r="A60" t="s">
        <v>111</v>
      </c>
      <c r="B60" t="s">
        <v>112</v>
      </c>
      <c r="C60" s="39">
        <v>4002239</v>
      </c>
      <c r="D60" s="4">
        <f>SUMIF(Ship_SKU[SKU], SKU[[#This Row],[SKU]], Ship_SKU[Qty])</f>
        <v>0</v>
      </c>
      <c r="E60" s="5">
        <f>IF(SKU[[#This Row],[Ship Code]]="", 0, VLOOKUP(SKU[[#This Row],[Ship Code]], Rate[], 3, FALSE)*SKU[[#This Row],[Ship Qty]])</f>
        <v>0</v>
      </c>
      <c r="F60" s="39">
        <v>4002240</v>
      </c>
      <c r="G60" s="40">
        <v>1</v>
      </c>
      <c r="H60" s="4">
        <f>SKU[[#This Row],[Ship Qty]]*SKU[[#This Row],[Kit Items]]</f>
        <v>0</v>
      </c>
      <c r="I60" s="5">
        <f>IF(SKU[[#This Row],[Kit Code]]="", 0, VLOOKUP(SKU[[#This Row],[Kit Code]], Rate[], 3, FALSE)*SKU[[#This Row],[Kit Qty]])</f>
        <v>0</v>
      </c>
      <c r="J60" s="2"/>
      <c r="K60" s="6">
        <f>IF(SKU[[#This Row],[Commission Code]]="", 0, VLOOKUP(SKU[[#This Row],[Commission Code]], Rate[], 3, FALSE)*SKU[[#This Row],[Ship Qty]])</f>
        <v>0</v>
      </c>
      <c r="L60" s="10">
        <f>SKU[[#This Row],[Ship Cost]]+SKU[[#This Row],[Kit Cost]]+SKU[[#This Row],[Comission Cost]]</f>
        <v>0</v>
      </c>
      <c r="M60" t="str">
        <f>IF(OR(ISNA(SKU[[#This Row],[Ship Cost]]), ISNA(SKU[[#This Row],[Kit Cost]]), ISNA(SKU[[#This Row],[Comission Cost]])), "Error Accessing SAP Rate", "")</f>
        <v/>
      </c>
    </row>
    <row r="61" spans="1:13" x14ac:dyDescent="0.25">
      <c r="A61" t="s">
        <v>113</v>
      </c>
      <c r="B61" t="s">
        <v>114</v>
      </c>
      <c r="C61" s="39">
        <v>4002239</v>
      </c>
      <c r="D61" s="4">
        <f>SUMIF(Ship_SKU[SKU], SKU[[#This Row],[SKU]], Ship_SKU[Qty])</f>
        <v>0</v>
      </c>
      <c r="E61" s="5">
        <f>IF(SKU[[#This Row],[Ship Code]]="", 0, VLOOKUP(SKU[[#This Row],[Ship Code]], Rate[], 3, FALSE)*SKU[[#This Row],[Ship Qty]])</f>
        <v>0</v>
      </c>
      <c r="F61" s="39">
        <v>4002240</v>
      </c>
      <c r="G61" s="40">
        <v>1</v>
      </c>
      <c r="H61" s="4">
        <f>SKU[[#This Row],[Ship Qty]]*SKU[[#This Row],[Kit Items]]</f>
        <v>0</v>
      </c>
      <c r="I61" s="5">
        <f>IF(SKU[[#This Row],[Kit Code]]="", 0, VLOOKUP(SKU[[#This Row],[Kit Code]], Rate[], 3, FALSE)*SKU[[#This Row],[Kit Qty]])</f>
        <v>0</v>
      </c>
      <c r="J61" s="40"/>
      <c r="K61" s="6">
        <f>IF(SKU[[#This Row],[Commission Code]]="", 0, VLOOKUP(SKU[[#This Row],[Commission Code]], Rate[], 3, FALSE)*SKU[[#This Row],[Ship Qty]])</f>
        <v>0</v>
      </c>
      <c r="L61" s="10">
        <f>SKU[[#This Row],[Ship Cost]]+SKU[[#This Row],[Kit Cost]]+SKU[[#This Row],[Comission Cost]]</f>
        <v>0</v>
      </c>
      <c r="M61" t="str">
        <f>IF(OR(ISNA(SKU[[#This Row],[Ship Cost]]), ISNA(SKU[[#This Row],[Kit Cost]]), ISNA(SKU[[#This Row],[Comission Cost]])), "Error Accessing SAP Rate", "")</f>
        <v/>
      </c>
    </row>
    <row r="62" spans="1:13" x14ac:dyDescent="0.25">
      <c r="A62" s="38" t="s">
        <v>216</v>
      </c>
      <c r="B62" s="38" t="s">
        <v>221</v>
      </c>
      <c r="C62" s="39">
        <v>4002239</v>
      </c>
      <c r="D62" s="4">
        <f>SUMIF(Ship_SKU[SKU], SKU[[#This Row],[SKU]], Ship_SKU[Qty])</f>
        <v>0</v>
      </c>
      <c r="E62" s="5">
        <f>IF(SKU[[#This Row],[Ship Code]]="", 0, VLOOKUP(SKU[[#This Row],[Ship Code]], Rate[], 3, FALSE)*SKU[[#This Row],[Ship Qty]])</f>
        <v>0</v>
      </c>
      <c r="F62" s="40"/>
      <c r="G62" s="40"/>
      <c r="H62" s="4">
        <f>SKU[[#This Row],[Ship Qty]]*SKU[[#This Row],[Kit Items]]</f>
        <v>0</v>
      </c>
      <c r="I62" s="5">
        <f>IF(SKU[[#This Row],[Kit Code]]="", 0, VLOOKUP(SKU[[#This Row],[Kit Code]], Rate[], 3, FALSE)*SKU[[#This Row],[Kit Qty]])</f>
        <v>0</v>
      </c>
      <c r="J62" s="39"/>
      <c r="K62" s="6">
        <f>IF(SKU[[#This Row],[Commission Code]]="", 0, VLOOKUP(SKU[[#This Row],[Commission Code]], Rate[], 3, FALSE)*SKU[[#This Row],[Ship Qty]])</f>
        <v>0</v>
      </c>
      <c r="L62" s="10">
        <f>SKU[[#This Row],[Ship Cost]]+SKU[[#This Row],[Kit Cost]]+SKU[[#This Row],[Comission Cost]]</f>
        <v>0</v>
      </c>
      <c r="M62" t="str">
        <f>IF(OR(ISNA(SKU[[#This Row],[Ship Cost]]), ISNA(SKU[[#This Row],[Kit Cost]]), ISNA(SKU[[#This Row],[Comission Cost]])), "Error Accessing SAP Rate", "")</f>
        <v/>
      </c>
    </row>
    <row r="63" spans="1:13" x14ac:dyDescent="0.25">
      <c r="A63" t="s">
        <v>115</v>
      </c>
      <c r="B63" t="s">
        <v>116</v>
      </c>
      <c r="C63" s="39">
        <v>4002239</v>
      </c>
      <c r="D63" s="4">
        <f>SUMIF(Ship_SKU[SKU], SKU[[#This Row],[SKU]], Ship_SKU[Qty])</f>
        <v>0</v>
      </c>
      <c r="E63" s="5">
        <f>IF(SKU[[#This Row],[Ship Code]]="", 0, VLOOKUP(SKU[[#This Row],[Ship Code]], Rate[], 3, FALSE)*SKU[[#This Row],[Ship Qty]])</f>
        <v>0</v>
      </c>
      <c r="F63" s="39">
        <v>4002240</v>
      </c>
      <c r="G63" s="40">
        <v>1</v>
      </c>
      <c r="H63" s="4">
        <f>SKU[[#This Row],[Ship Qty]]*SKU[[#This Row],[Kit Items]]</f>
        <v>0</v>
      </c>
      <c r="I63" s="5">
        <f>IF(SKU[[#This Row],[Kit Code]]="", 0, VLOOKUP(SKU[[#This Row],[Kit Code]], Rate[], 3, FALSE)*SKU[[#This Row],[Kit Qty]])</f>
        <v>0</v>
      </c>
      <c r="J63" s="40"/>
      <c r="K63" s="6">
        <f>IF(SKU[[#This Row],[Commission Code]]="", 0, VLOOKUP(SKU[[#This Row],[Commission Code]], Rate[], 3, FALSE)*SKU[[#This Row],[Ship Qty]])</f>
        <v>0</v>
      </c>
      <c r="L63" s="10">
        <f>SKU[[#This Row],[Ship Cost]]+SKU[[#This Row],[Kit Cost]]+SKU[[#This Row],[Comission Cost]]</f>
        <v>0</v>
      </c>
      <c r="M63" t="str">
        <f>IF(OR(ISNA(SKU[[#This Row],[Ship Cost]]), ISNA(SKU[[#This Row],[Kit Cost]]), ISNA(SKU[[#This Row],[Comission Cost]])), "Error Accessing SAP Rate", "")</f>
        <v/>
      </c>
    </row>
    <row r="64" spans="1:13" x14ac:dyDescent="0.25">
      <c r="A64" t="s">
        <v>16</v>
      </c>
      <c r="B64" t="s">
        <v>17</v>
      </c>
      <c r="C64" s="39">
        <v>4002239</v>
      </c>
      <c r="D64" s="4">
        <f>SUMIF(Ship_SKU[SKU], SKU[[#This Row],[SKU]], Ship_SKU[Qty])</f>
        <v>9</v>
      </c>
      <c r="E64" s="5">
        <f>IF(SKU[[#This Row],[Ship Code]]="", 0, VLOOKUP(SKU[[#This Row],[Ship Code]], Rate[], 3, FALSE)*SKU[[#This Row],[Ship Qty]])</f>
        <v>22.32</v>
      </c>
      <c r="F64" s="39">
        <v>4002240</v>
      </c>
      <c r="G64" s="40">
        <v>1</v>
      </c>
      <c r="H64" s="4">
        <f>SKU[[#This Row],[Ship Qty]]*SKU[[#This Row],[Kit Items]]</f>
        <v>9</v>
      </c>
      <c r="I64" s="5">
        <f>IF(SKU[[#This Row],[Kit Code]]="", 0, VLOOKUP(SKU[[#This Row],[Kit Code]], Rate[], 3, FALSE)*SKU[[#This Row],[Kit Qty]])</f>
        <v>17.009999999999998</v>
      </c>
      <c r="J64" s="40"/>
      <c r="K64" s="6">
        <f>IF(SKU[[#This Row],[Commission Code]]="", 0, VLOOKUP(SKU[[#This Row],[Commission Code]], Rate[], 3, FALSE)*SKU[[#This Row],[Ship Qty]])</f>
        <v>0</v>
      </c>
      <c r="L64" s="10">
        <f>SKU[[#This Row],[Ship Cost]]+SKU[[#This Row],[Kit Cost]]+SKU[[#This Row],[Comission Cost]]</f>
        <v>39.33</v>
      </c>
      <c r="M64" t="str">
        <f>IF(OR(ISNA(SKU[[#This Row],[Ship Cost]]), ISNA(SKU[[#This Row],[Kit Cost]]), ISNA(SKU[[#This Row],[Comission Cost]])), "Error Accessing SAP Rate", "")</f>
        <v/>
      </c>
    </row>
    <row r="65" spans="1:13" x14ac:dyDescent="0.25">
      <c r="A65" t="s">
        <v>117</v>
      </c>
      <c r="B65" t="s">
        <v>118</v>
      </c>
      <c r="C65" s="39">
        <v>4002239</v>
      </c>
      <c r="D65" s="4">
        <f>SUMIF(Ship_SKU[SKU], SKU[[#This Row],[SKU]], Ship_SKU[Qty])</f>
        <v>0</v>
      </c>
      <c r="E65" s="5">
        <f>IF(SKU[[#This Row],[Ship Code]]="", 0, VLOOKUP(SKU[[#This Row],[Ship Code]], Rate[], 3, FALSE)*SKU[[#This Row],[Ship Qty]])</f>
        <v>0</v>
      </c>
      <c r="F65" s="39">
        <v>4002240</v>
      </c>
      <c r="G65" s="40">
        <v>1</v>
      </c>
      <c r="H65" s="4">
        <f>SKU[[#This Row],[Ship Qty]]*SKU[[#This Row],[Kit Items]]</f>
        <v>0</v>
      </c>
      <c r="I65" s="5">
        <f>IF(SKU[[#This Row],[Kit Code]]="", 0, VLOOKUP(SKU[[#This Row],[Kit Code]], Rate[], 3, FALSE)*SKU[[#This Row],[Kit Qty]])</f>
        <v>0</v>
      </c>
      <c r="J65" s="40"/>
      <c r="K65" s="6">
        <f>IF(SKU[[#This Row],[Commission Code]]="", 0, VLOOKUP(SKU[[#This Row],[Commission Code]], Rate[], 3, FALSE)*SKU[[#This Row],[Ship Qty]])</f>
        <v>0</v>
      </c>
      <c r="L65" s="10">
        <f>SKU[[#This Row],[Ship Cost]]+SKU[[#This Row],[Kit Cost]]+SKU[[#This Row],[Comission Cost]]</f>
        <v>0</v>
      </c>
      <c r="M65" t="str">
        <f>IF(OR(ISNA(SKU[[#This Row],[Ship Cost]]), ISNA(SKU[[#This Row],[Kit Cost]]), ISNA(SKU[[#This Row],[Comission Cost]])), "Error Accessing SAP Rate", "")</f>
        <v/>
      </c>
    </row>
    <row r="66" spans="1:13" x14ac:dyDescent="0.25">
      <c r="A66" t="s">
        <v>18</v>
      </c>
      <c r="B66" t="s">
        <v>181</v>
      </c>
      <c r="C66" s="2">
        <v>4002239</v>
      </c>
      <c r="D66" s="4">
        <f>SUMIF(Ship_SKU[SKU], SKU[[#This Row],[SKU]], Ship_SKU[Qty])</f>
        <v>0</v>
      </c>
      <c r="E66" s="5">
        <f>IF(SKU[[#This Row],[Ship Code]]="", 0, VLOOKUP(SKU[[#This Row],[Ship Code]], Rate[], 3, FALSE)*SKU[[#This Row],[Ship Qty]])</f>
        <v>0</v>
      </c>
      <c r="F66" s="1"/>
      <c r="G66" s="2"/>
      <c r="H66" s="4">
        <f>SKU[[#This Row],[Ship Qty]]*SKU[[#This Row],[Kit Items]]</f>
        <v>0</v>
      </c>
      <c r="I66" s="5">
        <f>IF(SKU[[#This Row],[Kit Code]]="", 0, VLOOKUP(SKU[[#This Row],[Kit Code]], Rate[], 3, FALSE)*SKU[[#This Row],[Kit Qty]])</f>
        <v>0</v>
      </c>
      <c r="J66" s="18"/>
      <c r="K66" s="6">
        <f>IF(SKU[[#This Row],[Commission Code]]="", 0, VLOOKUP(SKU[[#This Row],[Commission Code]], Rate[], 3, FALSE)*SKU[[#This Row],[Ship Qty]])</f>
        <v>0</v>
      </c>
      <c r="L66" s="10">
        <f>SKU[[#This Row],[Ship Cost]]+SKU[[#This Row],[Kit Cost]]+SKU[[#This Row],[Comission Cost]]</f>
        <v>0</v>
      </c>
      <c r="M66" t="str">
        <f>IF(OR(ISNA(SKU[[#This Row],[Ship Cost]]), ISNA(SKU[[#This Row],[Kit Cost]]), ISNA(SKU[[#This Row],[Comission Cost]])), "Error Accessing SAP Rate", "")</f>
        <v/>
      </c>
    </row>
    <row r="67" spans="1:13" x14ac:dyDescent="0.25">
      <c r="A67" t="s">
        <v>19</v>
      </c>
      <c r="B67" t="s">
        <v>125</v>
      </c>
      <c r="C67" s="39">
        <v>4002239</v>
      </c>
      <c r="D67" s="4">
        <f>SUMIF(Ship_SKU[SKU], SKU[[#This Row],[SKU]], Ship_SKU[Qty])</f>
        <v>0</v>
      </c>
      <c r="E67" s="5">
        <f>IF(SKU[[#This Row],[Ship Code]]="", 0, VLOOKUP(SKU[[#This Row],[Ship Code]], Rate[], 3, FALSE)*SKU[[#This Row],[Ship Qty]])</f>
        <v>0</v>
      </c>
      <c r="F67" s="39">
        <v>4002240</v>
      </c>
      <c r="G67" s="40">
        <v>3</v>
      </c>
      <c r="H67" s="4">
        <f>SKU[[#This Row],[Ship Qty]]*SKU[[#This Row],[Kit Items]]</f>
        <v>0</v>
      </c>
      <c r="I67" s="5">
        <f>IF(SKU[[#This Row],[Kit Code]]="", 0, VLOOKUP(SKU[[#This Row],[Kit Code]], Rate[], 3, FALSE)*SKU[[#This Row],[Kit Qty]])</f>
        <v>0</v>
      </c>
      <c r="J67" s="18">
        <v>4002277</v>
      </c>
      <c r="K67" s="6">
        <f>IF(SKU[[#This Row],[Commission Code]]="", 0, VLOOKUP(SKU[[#This Row],[Commission Code]], Rate[], 3, FALSE)*SKU[[#This Row],[Ship Qty]])</f>
        <v>0</v>
      </c>
      <c r="L67" s="10">
        <f>SKU[[#This Row],[Ship Cost]]+SKU[[#This Row],[Kit Cost]]+SKU[[#This Row],[Comission Cost]]</f>
        <v>0</v>
      </c>
      <c r="M67" t="str">
        <f>IF(OR(ISNA(SKU[[#This Row],[Ship Cost]]), ISNA(SKU[[#This Row],[Kit Cost]]), ISNA(SKU[[#This Row],[Comission Cost]])), "Error Accessing SAP Rate", "")</f>
        <v/>
      </c>
    </row>
    <row r="68" spans="1:13" x14ac:dyDescent="0.25">
      <c r="A68" t="s">
        <v>119</v>
      </c>
      <c r="B68" t="s">
        <v>120</v>
      </c>
      <c r="C68" s="18">
        <v>4002239</v>
      </c>
      <c r="D68" s="4">
        <f>SUMIF(Ship_SKU[SKU], SKU[[#This Row],[SKU]], Ship_SKU[Qty])</f>
        <v>0</v>
      </c>
      <c r="E68" s="5">
        <f>IF(SKU[[#This Row],[Ship Code]]="", 0, VLOOKUP(SKU[[#This Row],[Ship Code]], Rate[], 3, FALSE)*SKU[[#This Row],[Ship Qty]])</f>
        <v>0</v>
      </c>
      <c r="F68" s="18">
        <v>4002240</v>
      </c>
      <c r="G68" s="33">
        <v>3</v>
      </c>
      <c r="H68" s="4">
        <f>SKU[[#This Row],[Ship Qty]]*SKU[[#This Row],[Kit Items]]</f>
        <v>0</v>
      </c>
      <c r="I68" s="5">
        <f>IF(SKU[[#This Row],[Kit Code]]="", 0, VLOOKUP(SKU[[#This Row],[Kit Code]], Rate[], 3, FALSE)*SKU[[#This Row],[Kit Qty]])</f>
        <v>0</v>
      </c>
      <c r="J68" s="33">
        <v>4002277</v>
      </c>
      <c r="K68" s="6">
        <f>IF(SKU[[#This Row],[Commission Code]]="", 0, VLOOKUP(SKU[[#This Row],[Commission Code]], Rate[], 3, FALSE)*SKU[[#This Row],[Ship Qty]])</f>
        <v>0</v>
      </c>
      <c r="L68" s="10">
        <f>SKU[[#This Row],[Ship Cost]]+SKU[[#This Row],[Kit Cost]]+SKU[[#This Row],[Comission Cost]]</f>
        <v>0</v>
      </c>
      <c r="M68" t="str">
        <f>IF(OR(ISNA(SKU[[#This Row],[Ship Cost]]), ISNA(SKU[[#This Row],[Kit Cost]]), ISNA(SKU[[#This Row],[Comission Cost]])), "Error Accessing SAP Rate", "")</f>
        <v/>
      </c>
    </row>
    <row r="69" spans="1:13" x14ac:dyDescent="0.25">
      <c r="A69" t="s">
        <v>20</v>
      </c>
      <c r="B69" t="s">
        <v>21</v>
      </c>
      <c r="C69" s="18">
        <v>4002239</v>
      </c>
      <c r="D69" s="4">
        <f>SUMIF(Ship_SKU[SKU], SKU[[#This Row],[SKU]], Ship_SKU[Qty])</f>
        <v>0</v>
      </c>
      <c r="E69" s="5">
        <f>IF(SKU[[#This Row],[Ship Code]]="", 0, VLOOKUP(SKU[[#This Row],[Ship Code]], Rate[], 3, FALSE)*SKU[[#This Row],[Ship Qty]])</f>
        <v>0</v>
      </c>
      <c r="F69" s="18">
        <v>4002240</v>
      </c>
      <c r="G69" s="33">
        <v>1</v>
      </c>
      <c r="H69" s="4">
        <f>SKU[[#This Row],[Ship Qty]]*SKU[[#This Row],[Kit Items]]</f>
        <v>0</v>
      </c>
      <c r="I69" s="5">
        <f>IF(SKU[[#This Row],[Kit Code]]="", 0, VLOOKUP(SKU[[#This Row],[Kit Code]], Rate[], 3, FALSE)*SKU[[#This Row],[Kit Qty]])</f>
        <v>0</v>
      </c>
      <c r="J69" s="33"/>
      <c r="K69" s="6">
        <f>IF(SKU[[#This Row],[Commission Code]]="", 0, VLOOKUP(SKU[[#This Row],[Commission Code]], Rate[], 3, FALSE)*SKU[[#This Row],[Ship Qty]])</f>
        <v>0</v>
      </c>
      <c r="L69" s="10">
        <f>SKU[[#This Row],[Ship Cost]]+SKU[[#This Row],[Kit Cost]]+SKU[[#This Row],[Comission Cost]]</f>
        <v>0</v>
      </c>
      <c r="M69" t="str">
        <f>IF(OR(ISNA(SKU[[#This Row],[Ship Cost]]), ISNA(SKU[[#This Row],[Kit Cost]]), ISNA(SKU[[#This Row],[Comission Cost]])), "Error Accessing SAP Rate", "")</f>
        <v/>
      </c>
    </row>
    <row r="70" spans="1:13" x14ac:dyDescent="0.25">
      <c r="A70" t="s">
        <v>22</v>
      </c>
      <c r="B70" t="s">
        <v>23</v>
      </c>
      <c r="C70" s="1">
        <v>4002239</v>
      </c>
      <c r="D70" s="4">
        <f>SUMIF(Ship_SKU[SKU], SKU[[#This Row],[SKU]], Ship_SKU[Qty])</f>
        <v>132</v>
      </c>
      <c r="E70" s="5">
        <f>IF(SKU[[#This Row],[Ship Code]]="", 0, VLOOKUP(SKU[[#This Row],[Ship Code]], Rate[], 3, FALSE)*SKU[[#This Row],[Ship Qty]])</f>
        <v>327.36</v>
      </c>
      <c r="F70" s="1">
        <v>4002240</v>
      </c>
      <c r="G70" s="2">
        <v>1</v>
      </c>
      <c r="H70" s="4">
        <f>SKU[[#This Row],[Ship Qty]]*SKU[[#This Row],[Kit Items]]</f>
        <v>132</v>
      </c>
      <c r="I70" s="5">
        <f>IF(SKU[[#This Row],[Kit Code]]="", 0, VLOOKUP(SKU[[#This Row],[Kit Code]], Rate[], 3, FALSE)*SKU[[#This Row],[Kit Qty]])</f>
        <v>249.48</v>
      </c>
      <c r="J70" s="40"/>
      <c r="K70" s="6">
        <f>IF(SKU[[#This Row],[Commission Code]]="", 0, VLOOKUP(SKU[[#This Row],[Commission Code]], Rate[], 3, FALSE)*SKU[[#This Row],[Ship Qty]])</f>
        <v>0</v>
      </c>
      <c r="L70" s="10">
        <f>SKU[[#This Row],[Ship Cost]]+SKU[[#This Row],[Kit Cost]]+SKU[[#This Row],[Comission Cost]]</f>
        <v>576.84</v>
      </c>
      <c r="M70" t="str">
        <f>IF(OR(ISNA(SKU[[#This Row],[Ship Cost]]), ISNA(SKU[[#This Row],[Kit Cost]]), ISNA(SKU[[#This Row],[Comission Cost]])), "Error Accessing SAP Rate", "")</f>
        <v/>
      </c>
    </row>
    <row r="71" spans="1:13" x14ac:dyDescent="0.25">
      <c r="A71" t="s">
        <v>183</v>
      </c>
      <c r="B71" t="s">
        <v>184</v>
      </c>
      <c r="C71" s="2">
        <v>4002239</v>
      </c>
      <c r="D71" s="4">
        <f>SUMIF(Ship_SKU[SKU], SKU[[#This Row],[SKU]], Ship_SKU[Qty])</f>
        <v>0</v>
      </c>
      <c r="E71" s="5">
        <f>IF(SKU[[#This Row],[Ship Code]]="", 0, VLOOKUP(SKU[[#This Row],[Ship Code]], Rate[], 3, FALSE)*SKU[[#This Row],[Ship Qty]])</f>
        <v>0</v>
      </c>
      <c r="F71" s="1">
        <v>4002240</v>
      </c>
      <c r="G71" s="2">
        <v>1</v>
      </c>
      <c r="H71" s="4">
        <f>SKU[[#This Row],[Ship Qty]]*SKU[[#This Row],[Kit Items]]</f>
        <v>0</v>
      </c>
      <c r="I71" s="5">
        <f>IF(SKU[[#This Row],[Kit Code]]="", 0, VLOOKUP(SKU[[#This Row],[Kit Code]], Rate[], 3, FALSE)*SKU[[#This Row],[Kit Qty]])</f>
        <v>0</v>
      </c>
      <c r="J71" s="39"/>
      <c r="K71" s="6">
        <f>IF(SKU[[#This Row],[Commission Code]]="", 0, VLOOKUP(SKU[[#This Row],[Commission Code]], Rate[], 3, FALSE)*SKU[[#This Row],[Ship Qty]])</f>
        <v>0</v>
      </c>
      <c r="L71" s="10">
        <f>SKU[[#This Row],[Ship Cost]]+SKU[[#This Row],[Kit Cost]]+SKU[[#This Row],[Comission Cost]]</f>
        <v>0</v>
      </c>
      <c r="M71" t="str">
        <f>IF(OR(ISNA(SKU[[#This Row],[Ship Cost]]), ISNA(SKU[[#This Row],[Kit Cost]]), ISNA(SKU[[#This Row],[Comission Cost]])), "Error Accessing SAP Rate", "")</f>
        <v/>
      </c>
    </row>
    <row r="72" spans="1:13" x14ac:dyDescent="0.25">
      <c r="A72" t="s">
        <v>121</v>
      </c>
      <c r="B72" t="s">
        <v>122</v>
      </c>
      <c r="C72" s="39">
        <v>4002239</v>
      </c>
      <c r="D72" s="4">
        <f>SUMIF(Ship_SKU[SKU], SKU[[#This Row],[SKU]], Ship_SKU[Qty])</f>
        <v>0</v>
      </c>
      <c r="E72" s="5">
        <f>IF(SKU[[#This Row],[Ship Code]]="", 0, VLOOKUP(SKU[[#This Row],[Ship Code]], Rate[], 3, FALSE)*SKU[[#This Row],[Ship Qty]])</f>
        <v>0</v>
      </c>
      <c r="F72" s="39">
        <v>4002240</v>
      </c>
      <c r="G72" s="40">
        <v>1</v>
      </c>
      <c r="H72" s="4">
        <f>SKU[[#This Row],[Ship Qty]]*SKU[[#This Row],[Kit Items]]</f>
        <v>0</v>
      </c>
      <c r="I72" s="5">
        <f>IF(SKU[[#This Row],[Kit Code]]="", 0, VLOOKUP(SKU[[#This Row],[Kit Code]], Rate[], 3, FALSE)*SKU[[#This Row],[Kit Qty]])</f>
        <v>0</v>
      </c>
      <c r="J72" s="40"/>
      <c r="K72" s="6">
        <f>IF(SKU[[#This Row],[Commission Code]]="", 0, VLOOKUP(SKU[[#This Row],[Commission Code]], Rate[], 3, FALSE)*SKU[[#This Row],[Ship Qty]])</f>
        <v>0</v>
      </c>
      <c r="L72" s="10">
        <f>SKU[[#This Row],[Ship Cost]]+SKU[[#This Row],[Kit Cost]]+SKU[[#This Row],[Comission Cost]]</f>
        <v>0</v>
      </c>
      <c r="M72" t="str">
        <f>IF(OR(ISNA(SKU[[#This Row],[Ship Cost]]), ISNA(SKU[[#This Row],[Kit Cost]]), ISNA(SKU[[#This Row],[Comission Cost]])), "Error Accessing SAP Rate", "")</f>
        <v/>
      </c>
    </row>
    <row r="73" spans="1:13" x14ac:dyDescent="0.25">
      <c r="A73" t="s">
        <v>24</v>
      </c>
      <c r="B73" t="s">
        <v>182</v>
      </c>
      <c r="C73" s="40">
        <v>4002239</v>
      </c>
      <c r="D73" s="4">
        <f>SUMIF(Ship_SKU[SKU], SKU[[#This Row],[SKU]], Ship_SKU[Qty])</f>
        <v>0</v>
      </c>
      <c r="E73" s="5">
        <f>IF(SKU[[#This Row],[Ship Code]]="", 0, VLOOKUP(SKU[[#This Row],[Ship Code]], Rate[], 3, FALSE)*SKU[[#This Row],[Ship Qty]])</f>
        <v>0</v>
      </c>
      <c r="F73" s="39">
        <v>4002240</v>
      </c>
      <c r="G73" s="40">
        <v>1</v>
      </c>
      <c r="H73" s="4">
        <f>SKU[[#This Row],[Ship Qty]]*SKU[[#This Row],[Kit Items]]</f>
        <v>0</v>
      </c>
      <c r="I73" s="5">
        <f>IF(SKU[[#This Row],[Kit Code]]="", 0, VLOOKUP(SKU[[#This Row],[Kit Code]], Rate[], 3, FALSE)*SKU[[#This Row],[Kit Qty]])</f>
        <v>0</v>
      </c>
      <c r="J73" s="39"/>
      <c r="K73" s="6">
        <f>IF(SKU[[#This Row],[Commission Code]]="", 0, VLOOKUP(SKU[[#This Row],[Commission Code]], Rate[], 3, FALSE)*SKU[[#This Row],[Ship Qty]])</f>
        <v>0</v>
      </c>
      <c r="L73" s="10">
        <f>SKU[[#This Row],[Ship Cost]]+SKU[[#This Row],[Kit Cost]]+SKU[[#This Row],[Comission Cost]]</f>
        <v>0</v>
      </c>
      <c r="M73" t="str">
        <f>IF(OR(ISNA(SKU[[#This Row],[Ship Cost]]), ISNA(SKU[[#This Row],[Kit Cost]]), ISNA(SKU[[#This Row],[Comission Cost]])), "Error Accessing SAP Rate", "")</f>
        <v/>
      </c>
    </row>
    <row r="74" spans="1:13" x14ac:dyDescent="0.25">
      <c r="A74" s="38" t="s">
        <v>220</v>
      </c>
      <c r="B74" s="38" t="s">
        <v>225</v>
      </c>
      <c r="C74" s="39">
        <v>4002239</v>
      </c>
      <c r="D74" s="4">
        <f>SUMIF(Ship_SKU[SKU], SKU[[#This Row],[SKU]], Ship_SKU[Qty])</f>
        <v>0</v>
      </c>
      <c r="E74" s="5">
        <f>IF(SKU[[#This Row],[Ship Code]]="", 0, VLOOKUP(SKU[[#This Row],[Ship Code]], Rate[], 3, FALSE)*SKU[[#This Row],[Ship Qty]])</f>
        <v>0</v>
      </c>
      <c r="F74" s="40"/>
      <c r="G74" s="40"/>
      <c r="H74" s="4">
        <f>SKU[[#This Row],[Ship Qty]]*SKU[[#This Row],[Kit Items]]</f>
        <v>0</v>
      </c>
      <c r="I74" s="5">
        <f>IF(SKU[[#This Row],[Kit Code]]="", 0, VLOOKUP(SKU[[#This Row],[Kit Code]], Rate[], 3, FALSE)*SKU[[#This Row],[Kit Qty]])</f>
        <v>0</v>
      </c>
      <c r="J74" s="39"/>
      <c r="K74" s="6">
        <f>IF(SKU[[#This Row],[Commission Code]]="", 0, VLOOKUP(SKU[[#This Row],[Commission Code]], Rate[], 3, FALSE)*SKU[[#This Row],[Ship Qty]])</f>
        <v>0</v>
      </c>
      <c r="L74" s="10">
        <f>SKU[[#This Row],[Ship Cost]]+SKU[[#This Row],[Kit Cost]]+SKU[[#This Row],[Comission Cost]]</f>
        <v>0</v>
      </c>
      <c r="M74" t="str">
        <f>IF(OR(ISNA(SKU[[#This Row],[Ship Cost]]), ISNA(SKU[[#This Row],[Kit Cost]]), ISNA(SKU[[#This Row],[Comission Cost]])), "Error Accessing SAP Rate", "")</f>
        <v/>
      </c>
    </row>
    <row r="75" spans="1:13" x14ac:dyDescent="0.25">
      <c r="A75" t="s">
        <v>126</v>
      </c>
      <c r="B75" t="s">
        <v>127</v>
      </c>
      <c r="C75" s="1">
        <v>4002239</v>
      </c>
      <c r="D75" s="4">
        <f>SUMIF(Ship_SKU[SKU], SKU[[#This Row],[SKU]], Ship_SKU[Qty])</f>
        <v>0</v>
      </c>
      <c r="E75" s="5">
        <f>IF(SKU[[#This Row],[Ship Code]]="", 0, VLOOKUP(SKU[[#This Row],[Ship Code]], Rate[], 3, FALSE)*SKU[[#This Row],[Ship Qty]])</f>
        <v>0</v>
      </c>
      <c r="F75" s="1"/>
      <c r="G75" s="2"/>
      <c r="H75" s="4">
        <f>SKU[[#This Row],[Ship Qty]]*SKU[[#This Row],[Kit Items]]</f>
        <v>0</v>
      </c>
      <c r="I75" s="5">
        <f>IF(SKU[[#This Row],[Kit Code]]="", 0, VLOOKUP(SKU[[#This Row],[Kit Code]], Rate[], 3, FALSE)*SKU[[#This Row],[Kit Qty]])</f>
        <v>0</v>
      </c>
      <c r="J75" s="1">
        <v>4002243</v>
      </c>
      <c r="K75" s="6">
        <f>IF(SKU[[#This Row],[Commission Code]]="", 0, VLOOKUP(SKU[[#This Row],[Commission Code]], Rate[], 3, FALSE)*SKU[[#This Row],[Ship Qty]])</f>
        <v>0</v>
      </c>
      <c r="L75" s="10">
        <f>SKU[[#This Row],[Ship Cost]]+SKU[[#This Row],[Kit Cost]]+SKU[[#This Row],[Comission Cost]]</f>
        <v>0</v>
      </c>
      <c r="M75" t="str">
        <f>IF(OR(ISNA(SKU[[#This Row],[Ship Cost]]), ISNA(SKU[[#This Row],[Kit Cost]]), ISNA(SKU[[#This Row],[Comission Cost]])), "Error Accessing SAP Rate", "")</f>
        <v/>
      </c>
    </row>
    <row r="76" spans="1:13" x14ac:dyDescent="0.25">
      <c r="A76" t="s">
        <v>128</v>
      </c>
      <c r="B76" t="s">
        <v>129</v>
      </c>
      <c r="C76" s="18">
        <v>4002239</v>
      </c>
      <c r="D76" s="4">
        <f>SUMIF(Ship_SKU[SKU], SKU[[#This Row],[SKU]], Ship_SKU[Qty])</f>
        <v>0</v>
      </c>
      <c r="E76" s="5">
        <f>IF(SKU[[#This Row],[Ship Code]]="", 0, VLOOKUP(SKU[[#This Row],[Ship Code]], Rate[], 3, FALSE)*SKU[[#This Row],[Ship Qty]])</f>
        <v>0</v>
      </c>
      <c r="F76" s="18"/>
      <c r="G76" s="33"/>
      <c r="H76" s="4">
        <f>SKU[[#This Row],[Ship Qty]]*SKU[[#This Row],[Kit Items]]</f>
        <v>0</v>
      </c>
      <c r="I76" s="5">
        <f>IF(SKU[[#This Row],[Kit Code]]="", 0, VLOOKUP(SKU[[#This Row],[Kit Code]], Rate[], 3, FALSE)*SKU[[#This Row],[Kit Qty]])</f>
        <v>0</v>
      </c>
      <c r="J76" s="1">
        <v>4002243</v>
      </c>
      <c r="K76" s="6">
        <f>IF(SKU[[#This Row],[Commission Code]]="", 0, VLOOKUP(SKU[[#This Row],[Commission Code]], Rate[], 3, FALSE)*SKU[[#This Row],[Ship Qty]])</f>
        <v>0</v>
      </c>
      <c r="L76" s="10">
        <f>SKU[[#This Row],[Ship Cost]]+SKU[[#This Row],[Kit Cost]]+SKU[[#This Row],[Comission Cost]]</f>
        <v>0</v>
      </c>
      <c r="M76" t="str">
        <f>IF(OR(ISNA(SKU[[#This Row],[Ship Cost]]), ISNA(SKU[[#This Row],[Kit Cost]]), ISNA(SKU[[#This Row],[Comission Cost]])), "Error Accessing SAP Rate", "")</f>
        <v/>
      </c>
    </row>
    <row r="77" spans="1:13" x14ac:dyDescent="0.25">
      <c r="A77" t="s">
        <v>215</v>
      </c>
      <c r="B77" t="s">
        <v>132</v>
      </c>
      <c r="C77" s="18">
        <v>4002239</v>
      </c>
      <c r="D77" s="4">
        <f>SUMIF(Ship_SKU[SKU], SKU[[#This Row],[SKU]], Ship_SKU[Qty])</f>
        <v>0</v>
      </c>
      <c r="E77" s="5">
        <f>IF(SKU[[#This Row],[Ship Code]]="", 0, VLOOKUP(SKU[[#This Row],[Ship Code]], Rate[], 3, FALSE)*SKU[[#This Row],[Ship Qty]])</f>
        <v>0</v>
      </c>
      <c r="F77" s="18"/>
      <c r="G77" s="33"/>
      <c r="H77" s="4">
        <f>SKU[[#This Row],[Ship Qty]]*SKU[[#This Row],[Kit Items]]</f>
        <v>0</v>
      </c>
      <c r="I77" s="5">
        <f>IF(SKU[[#This Row],[Kit Code]]="", 0, VLOOKUP(SKU[[#This Row],[Kit Code]], Rate[], 3, FALSE)*SKU[[#This Row],[Kit Qty]])</f>
        <v>0</v>
      </c>
      <c r="J77" s="18">
        <v>4002243</v>
      </c>
      <c r="K77" s="6">
        <f>IF(SKU[[#This Row],[Commission Code]]="", 0, VLOOKUP(SKU[[#This Row],[Commission Code]], Rate[], 3, FALSE)*SKU[[#This Row],[Ship Qty]])</f>
        <v>0</v>
      </c>
      <c r="L77" s="10">
        <f>SKU[[#This Row],[Ship Cost]]+SKU[[#This Row],[Kit Cost]]+SKU[[#This Row],[Comission Cost]]</f>
        <v>0</v>
      </c>
      <c r="M77" t="str">
        <f>IF(OR(ISNA(SKU[[#This Row],[Ship Cost]]), ISNA(SKU[[#This Row],[Kit Cost]]), ISNA(SKU[[#This Row],[Comission Cost]])), "Error Accessing SAP Rate", "")</f>
        <v/>
      </c>
    </row>
    <row r="78" spans="1:13" x14ac:dyDescent="0.25">
      <c r="A78" t="s">
        <v>130</v>
      </c>
      <c r="B78" t="s">
        <v>131</v>
      </c>
      <c r="C78" s="18">
        <v>4002239</v>
      </c>
      <c r="D78" s="4">
        <f>SUMIF(Ship_SKU[SKU], SKU[[#This Row],[SKU]], Ship_SKU[Qty])</f>
        <v>0</v>
      </c>
      <c r="E78" s="5">
        <f>IF(SKU[[#This Row],[Ship Code]]="", 0, VLOOKUP(SKU[[#This Row],[Ship Code]], Rate[], 3, FALSE)*SKU[[#This Row],[Ship Qty]])</f>
        <v>0</v>
      </c>
      <c r="F78" s="18"/>
      <c r="G78" s="33"/>
      <c r="H78" s="4">
        <f>SKU[[#This Row],[Ship Qty]]*SKU[[#This Row],[Kit Items]]</f>
        <v>0</v>
      </c>
      <c r="I78" s="5">
        <f>IF(SKU[[#This Row],[Kit Code]]="", 0, VLOOKUP(SKU[[#This Row],[Kit Code]], Rate[], 3, FALSE)*SKU[[#This Row],[Kit Qty]])</f>
        <v>0</v>
      </c>
      <c r="J78" s="18">
        <v>4002243</v>
      </c>
      <c r="K78" s="6">
        <f>IF(SKU[[#This Row],[Commission Code]]="", 0, VLOOKUP(SKU[[#This Row],[Commission Code]], Rate[], 3, FALSE)*SKU[[#This Row],[Ship Qty]])</f>
        <v>0</v>
      </c>
      <c r="L78" s="10">
        <f>SKU[[#This Row],[Ship Cost]]+SKU[[#This Row],[Kit Cost]]+SKU[[#This Row],[Comission Cost]]</f>
        <v>0</v>
      </c>
      <c r="M78" t="str">
        <f>IF(OR(ISNA(SKU[[#This Row],[Ship Cost]]), ISNA(SKU[[#This Row],[Kit Cost]]), ISNA(SKU[[#This Row],[Comission Cost]])), "Error Accessing SAP Rate", "")</f>
        <v/>
      </c>
    </row>
    <row r="79" spans="1:13" x14ac:dyDescent="0.25">
      <c r="A79" t="s">
        <v>25</v>
      </c>
      <c r="B79" t="s">
        <v>26</v>
      </c>
      <c r="C79" s="18">
        <v>4002239</v>
      </c>
      <c r="D79" s="4">
        <f>SUMIF(Ship_SKU[SKU], SKU[[#This Row],[SKU]], Ship_SKU[Qty])</f>
        <v>38</v>
      </c>
      <c r="E79" s="5">
        <f>IF(SKU[[#This Row],[Ship Code]]="", 0, VLOOKUP(SKU[[#This Row],[Ship Code]], Rate[], 3, FALSE)*SKU[[#This Row],[Ship Qty]])</f>
        <v>94.24</v>
      </c>
      <c r="F79" s="18"/>
      <c r="G79" s="33"/>
      <c r="H79" s="4">
        <f>SKU[[#This Row],[Ship Qty]]*SKU[[#This Row],[Kit Items]]</f>
        <v>0</v>
      </c>
      <c r="I79" s="5">
        <f>IF(SKU[[#This Row],[Kit Code]]="", 0, VLOOKUP(SKU[[#This Row],[Kit Code]], Rate[], 3, FALSE)*SKU[[#This Row],[Kit Qty]])</f>
        <v>0</v>
      </c>
      <c r="J79" s="18">
        <v>4002243</v>
      </c>
      <c r="K79" s="6">
        <f>IF(SKU[[#This Row],[Commission Code]]="", 0, VLOOKUP(SKU[[#This Row],[Commission Code]], Rate[], 3, FALSE)*SKU[[#This Row],[Ship Qty]])</f>
        <v>112.10000000000001</v>
      </c>
      <c r="L79" s="10">
        <f>SKU[[#This Row],[Ship Cost]]+SKU[[#This Row],[Kit Cost]]+SKU[[#This Row],[Comission Cost]]</f>
        <v>206.34</v>
      </c>
      <c r="M79" t="str">
        <f>IF(OR(ISNA(SKU[[#This Row],[Ship Cost]]), ISNA(SKU[[#This Row],[Kit Cost]]), ISNA(SKU[[#This Row],[Comission Cost]])), "Error Accessing SAP Rate", "")</f>
        <v/>
      </c>
    </row>
    <row r="80" spans="1:13" x14ac:dyDescent="0.25">
      <c r="A80" t="s">
        <v>133</v>
      </c>
      <c r="B80" t="s">
        <v>134</v>
      </c>
      <c r="C80" s="18">
        <v>4002239</v>
      </c>
      <c r="D80" s="4">
        <f>SUMIF(Ship_SKU[SKU], SKU[[#This Row],[SKU]], Ship_SKU[Qty])</f>
        <v>0</v>
      </c>
      <c r="E80" s="5">
        <f>IF(SKU[[#This Row],[Ship Code]]="", 0, VLOOKUP(SKU[[#This Row],[Ship Code]], Rate[], 3, FALSE)*SKU[[#This Row],[Ship Qty]])</f>
        <v>0</v>
      </c>
      <c r="F80" s="18"/>
      <c r="G80" s="33"/>
      <c r="H80" s="4">
        <f>SKU[[#This Row],[Ship Qty]]*SKU[[#This Row],[Kit Items]]</f>
        <v>0</v>
      </c>
      <c r="I80" s="5">
        <f>IF(SKU[[#This Row],[Kit Code]]="", 0, VLOOKUP(SKU[[#This Row],[Kit Code]], Rate[], 3, FALSE)*SKU[[#This Row],[Kit Qty]])</f>
        <v>0</v>
      </c>
      <c r="J80" s="18">
        <v>4002243</v>
      </c>
      <c r="K80" s="6">
        <f>IF(SKU[[#This Row],[Commission Code]]="", 0, VLOOKUP(SKU[[#This Row],[Commission Code]], Rate[], 3, FALSE)*SKU[[#This Row],[Ship Qty]])</f>
        <v>0</v>
      </c>
      <c r="L80" s="10">
        <f>SKU[[#This Row],[Ship Cost]]+SKU[[#This Row],[Kit Cost]]+SKU[[#This Row],[Comission Cost]]</f>
        <v>0</v>
      </c>
      <c r="M80" t="str">
        <f>IF(OR(ISNA(SKU[[#This Row],[Ship Cost]]), ISNA(SKU[[#This Row],[Kit Cost]]), ISNA(SKU[[#This Row],[Comission Cost]])), "Error Accessing SAP Rate", "")</f>
        <v/>
      </c>
    </row>
    <row r="81" spans="1:13" x14ac:dyDescent="0.25">
      <c r="A81" t="s">
        <v>135</v>
      </c>
      <c r="B81" t="s">
        <v>136</v>
      </c>
      <c r="C81" s="18">
        <v>4002239</v>
      </c>
      <c r="D81" s="4">
        <f>SUMIF(Ship_SKU[SKU], SKU[[#This Row],[SKU]], Ship_SKU[Qty])</f>
        <v>0</v>
      </c>
      <c r="E81" s="5">
        <f>IF(SKU[[#This Row],[Ship Code]]="", 0, VLOOKUP(SKU[[#This Row],[Ship Code]], Rate[], 3, FALSE)*SKU[[#This Row],[Ship Qty]])</f>
        <v>0</v>
      </c>
      <c r="F81" s="18"/>
      <c r="G81" s="33"/>
      <c r="H81" s="4">
        <f>SKU[[#This Row],[Ship Qty]]*SKU[[#This Row],[Kit Items]]</f>
        <v>0</v>
      </c>
      <c r="I81" s="5">
        <f>IF(SKU[[#This Row],[Kit Code]]="", 0, VLOOKUP(SKU[[#This Row],[Kit Code]], Rate[], 3, FALSE)*SKU[[#This Row],[Kit Qty]])</f>
        <v>0</v>
      </c>
      <c r="J81" s="18">
        <v>4002243</v>
      </c>
      <c r="K81" s="6">
        <f>IF(SKU[[#This Row],[Commission Code]]="", 0, VLOOKUP(SKU[[#This Row],[Commission Code]], Rate[], 3, FALSE)*SKU[[#This Row],[Ship Qty]])</f>
        <v>0</v>
      </c>
      <c r="L81" s="10">
        <f>SKU[[#This Row],[Ship Cost]]+SKU[[#This Row],[Kit Cost]]+SKU[[#This Row],[Comission Cost]]</f>
        <v>0</v>
      </c>
      <c r="M81" t="str">
        <f>IF(OR(ISNA(SKU[[#This Row],[Ship Cost]]), ISNA(SKU[[#This Row],[Kit Cost]]), ISNA(SKU[[#This Row],[Comission Cost]])), "Error Accessing SAP Rate", "")</f>
        <v/>
      </c>
    </row>
    <row r="83" spans="1:13" x14ac:dyDescent="0.25">
      <c r="E83" s="5">
        <f>SUM(SKU[Ship Cost])</f>
        <v>468.72</v>
      </c>
      <c r="I83" s="5">
        <f>SUM(SKU[Kit Cost])</f>
        <v>296.73</v>
      </c>
      <c r="K83" s="5">
        <f>SUM(SKU[Comission Cost])</f>
        <v>134.08000000000001</v>
      </c>
      <c r="L83" s="10">
        <f>SUM(SKU[Total])</f>
        <v>899.53000000000009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BC8E-EDCF-403D-8A71-6674E9D1B126}">
  <sheetPr codeName="Sheet5">
    <tabColor theme="2" tint="-0.499984740745262"/>
  </sheetPr>
  <dimension ref="A1:J7"/>
  <sheetViews>
    <sheetView workbookViewId="0">
      <selection activeCell="I10" sqref="I10"/>
    </sheetView>
  </sheetViews>
  <sheetFormatPr defaultRowHeight="15" x14ac:dyDescent="0.25"/>
  <cols>
    <col min="1" max="1" width="15.7109375" bestFit="1" customWidth="1"/>
    <col min="2" max="2" width="12.5703125" bestFit="1" customWidth="1"/>
    <col min="3" max="3" width="12.140625" customWidth="1"/>
    <col min="4" max="4" width="13" bestFit="1" customWidth="1"/>
    <col min="5" max="5" width="13.7109375" bestFit="1" customWidth="1"/>
    <col min="6" max="6" width="13.85546875" bestFit="1" customWidth="1"/>
    <col min="7" max="7" width="12.42578125" bestFit="1" customWidth="1"/>
    <col min="8" max="8" width="13.140625" bestFit="1" customWidth="1"/>
    <col min="9" max="9" width="13.140625" customWidth="1"/>
  </cols>
  <sheetData>
    <row r="1" spans="1:10" x14ac:dyDescent="0.25">
      <c r="A1" t="s">
        <v>149</v>
      </c>
      <c r="B1" t="s">
        <v>34</v>
      </c>
      <c r="C1" t="s">
        <v>35</v>
      </c>
      <c r="D1" s="17" t="s">
        <v>36</v>
      </c>
      <c r="E1" s="17" t="s">
        <v>137</v>
      </c>
      <c r="F1" s="17" t="s">
        <v>191</v>
      </c>
      <c r="G1" s="17" t="s">
        <v>192</v>
      </c>
      <c r="H1" s="17" t="s">
        <v>193</v>
      </c>
      <c r="I1" s="17" t="s">
        <v>150</v>
      </c>
      <c r="J1" t="s">
        <v>2</v>
      </c>
    </row>
    <row r="2" spans="1:10" x14ac:dyDescent="0.25">
      <c r="A2" t="s">
        <v>141</v>
      </c>
      <c r="B2" t="s">
        <v>145</v>
      </c>
      <c r="C2" s="2"/>
      <c r="D2" s="8">
        <f>SUMIF(Ship_Type[REF], Type[[#This Row],[REF]], Ship_Type[Orders])</f>
        <v>0</v>
      </c>
      <c r="E2" s="20">
        <f>IF(Type[[#This Row],[Ship Code]]="", 0, VLOOKUP(Type[[#This Row],[Ship Code]], Rate[], 3, FALSE)*Type[[#This Row],[Ship Qty]])</f>
        <v>0</v>
      </c>
      <c r="F2" s="2">
        <v>4002238</v>
      </c>
      <c r="G2" s="8">
        <f>SUMIF(Ship_Type[REF], Type[[#This Row],[REF]], Ship_Type[Boxes])</f>
        <v>0</v>
      </c>
      <c r="H2" s="20">
        <f>IF(Type[[#This Row],[Box Code]]="", 0, VLOOKUP(Type[[#This Row],[Box Code]], Rate[], 3, FALSE)*Type[[#This Row],[Box Qty]])</f>
        <v>0</v>
      </c>
      <c r="I2" s="10">
        <f>SUM(Type[[#This Row],[Ship Cost]], Type[[#This Row],[Box Cost]])</f>
        <v>0</v>
      </c>
      <c r="J2" t="str">
        <f>IF(OR(ISNA(Type[[#This Row],[Ship Cost]]), ISNA(Type[[#This Row],[Box Cost]])), "Error Accessing SAP Rate", "")</f>
        <v/>
      </c>
    </row>
    <row r="3" spans="1:10" x14ac:dyDescent="0.25">
      <c r="A3" t="s">
        <v>142</v>
      </c>
      <c r="B3" t="s">
        <v>146</v>
      </c>
      <c r="C3" s="2"/>
      <c r="D3" s="8">
        <f>SUMIF(Ship_Type[REF], Type[[#This Row],[REF]], Ship_Type[Orders])</f>
        <v>3</v>
      </c>
      <c r="E3" s="20">
        <f>IF(Type[[#This Row],[Ship Code]]="", 0, VLOOKUP(Type[[#This Row],[Ship Code]], Rate[], 3, FALSE)*Type[[#This Row],[Ship Qty]])</f>
        <v>0</v>
      </c>
      <c r="F3" s="2">
        <v>4002237</v>
      </c>
      <c r="G3" s="8">
        <f>SUMIF(Ship_Type[REF], Type[[#This Row],[REF]], Ship_Type[Boxes])</f>
        <v>11</v>
      </c>
      <c r="H3" s="20">
        <f>IF(Type[[#This Row],[Box Code]]="", 0, VLOOKUP(Type[[#This Row],[Box Code]], Rate[], 3, FALSE)*Type[[#This Row],[Box Qty]])</f>
        <v>60.39</v>
      </c>
      <c r="I3" s="10">
        <f>SUM(Type[[#This Row],[Ship Cost]], Type[[#This Row],[Box Cost]])</f>
        <v>60.39</v>
      </c>
      <c r="J3" t="str">
        <f>IF(OR(ISNA(Type[[#This Row],[Ship Cost]]), ISNA(Type[[#This Row],[Box Cost]])), "Error Accessing SAP Rate", "")</f>
        <v/>
      </c>
    </row>
    <row r="4" spans="1:10" x14ac:dyDescent="0.25">
      <c r="A4" t="s">
        <v>143</v>
      </c>
      <c r="B4" t="s">
        <v>147</v>
      </c>
      <c r="C4" s="2"/>
      <c r="D4" s="8">
        <f>SUMIF(Ship_Type[REF], Type[[#This Row],[REF]], Ship_Type[Orders])</f>
        <v>0</v>
      </c>
      <c r="E4" s="20">
        <f>IF(Type[[#This Row],[Ship Code]]="", 0, VLOOKUP(Type[[#This Row],[Ship Code]], Rate[], 3, FALSE)*Type[[#This Row],[Ship Qty]])</f>
        <v>0</v>
      </c>
      <c r="F4" s="2">
        <v>4002238</v>
      </c>
      <c r="G4" s="8">
        <f>SUMIF(Ship_Type[REF], Type[[#This Row],[REF]], Ship_Type[Boxes])</f>
        <v>0</v>
      </c>
      <c r="H4" s="20">
        <f>IF(Type[[#This Row],[Box Code]]="", 0, VLOOKUP(Type[[#This Row],[Box Code]], Rate[], 3, FALSE)*Type[[#This Row],[Box Qty]])</f>
        <v>0</v>
      </c>
      <c r="I4" s="10">
        <f>SUM(Type[[#This Row],[Ship Cost]], Type[[#This Row],[Box Cost]])</f>
        <v>0</v>
      </c>
      <c r="J4" t="str">
        <f>IF(OR(ISNA(Type[[#This Row],[Ship Cost]]), ISNA(Type[[#This Row],[Box Cost]])), "Error Accessing SAP Rate", "")</f>
        <v/>
      </c>
    </row>
    <row r="5" spans="1:10" x14ac:dyDescent="0.25">
      <c r="A5" t="s">
        <v>144</v>
      </c>
      <c r="B5" t="s">
        <v>148</v>
      </c>
      <c r="C5" s="2"/>
      <c r="D5" s="8">
        <f>SUMIF(Ship_Type[REF], Type[[#This Row],[REF]], Ship_Type[Orders])</f>
        <v>0</v>
      </c>
      <c r="E5" s="20">
        <f>IF(Type[[#This Row],[Ship Code]]="", 0, VLOOKUP(Type[[#This Row],[Ship Code]], Rate[], 3, FALSE)*Type[[#This Row],[Ship Qty]])</f>
        <v>0</v>
      </c>
      <c r="F5" s="2">
        <v>4002238</v>
      </c>
      <c r="G5" s="8">
        <f>SUMIF(Ship_Type[REF], Type[[#This Row],[REF]], Ship_Type[Boxes])</f>
        <v>0</v>
      </c>
      <c r="H5" s="20">
        <f>IF(Type[[#This Row],[Box Code]]="", 0, VLOOKUP(Type[[#This Row],[Box Code]], Rate[], 3, FALSE)*Type[[#This Row],[Box Qty]])</f>
        <v>0</v>
      </c>
      <c r="I5" s="10">
        <f>SUM(Type[[#This Row],[Ship Cost]], Type[[#This Row],[Box Cost]])</f>
        <v>0</v>
      </c>
      <c r="J5" t="str">
        <f>IF(OR(ISNA(Type[[#This Row],[Ship Cost]]), ISNA(Type[[#This Row],[Box Cost]])), "Error Accessing SAP Rate", "")</f>
        <v/>
      </c>
    </row>
    <row r="7" spans="1:10" x14ac:dyDescent="0.25">
      <c r="E7" s="5">
        <f>SUM(Type[Ship Cost])</f>
        <v>0</v>
      </c>
      <c r="H7" s="5">
        <f>SUM(Type[Box Cost])</f>
        <v>60.39</v>
      </c>
      <c r="I7" s="10">
        <f>SUM(Type[Cost])</f>
        <v>60.39</v>
      </c>
    </row>
  </sheetData>
  <sheetProtection sheet="1" objects="1" scenarios="1"/>
  <phoneticPr fontId="2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4AB0-C65D-42E3-A9C4-EA6A1BB77F27}">
  <sheetPr codeName="Sheet7">
    <tabColor rgb="FF00B050"/>
  </sheetPr>
  <dimension ref="A1:E27"/>
  <sheetViews>
    <sheetView tabSelected="1" workbookViewId="0">
      <selection activeCell="J13" sqref="J13"/>
    </sheetView>
  </sheetViews>
  <sheetFormatPr defaultRowHeight="15" x14ac:dyDescent="0.25"/>
  <cols>
    <col min="1" max="1" width="13.5703125" style="17" bestFit="1" customWidth="1"/>
    <col min="2" max="2" width="50.85546875" bestFit="1" customWidth="1"/>
    <col min="5" max="5" width="10.5703125" bestFit="1" customWidth="1"/>
  </cols>
  <sheetData>
    <row r="1" spans="1:5" x14ac:dyDescent="0.25">
      <c r="A1" s="15" t="s">
        <v>28</v>
      </c>
      <c r="B1" s="13" t="s">
        <v>162</v>
      </c>
      <c r="C1" s="15" t="s">
        <v>29</v>
      </c>
      <c r="D1" s="15" t="s">
        <v>1</v>
      </c>
      <c r="E1" s="15" t="s">
        <v>140</v>
      </c>
    </row>
    <row r="2" spans="1:5" x14ac:dyDescent="0.25">
      <c r="A2" s="23"/>
      <c r="B2" s="24" t="s">
        <v>172</v>
      </c>
      <c r="C2" s="25"/>
      <c r="D2" s="26"/>
      <c r="E2" s="25"/>
    </row>
    <row r="3" spans="1:5" x14ac:dyDescent="0.25">
      <c r="A3" s="17">
        <v>4002240</v>
      </c>
      <c r="B3" t="str">
        <f>VLOOKUP(A3, Rate[[SAP Code]:[Qty]], 2, FALSE)</f>
        <v>Kitting - Per part fee</v>
      </c>
      <c r="C3">
        <f>VLOOKUP($A3, Rate[[SAP Code]:[Qty]], 3, FALSE)</f>
        <v>1.89</v>
      </c>
      <c r="D3" s="31">
        <f>VLOOKUP($A3, Rate[[SAP Code]:[Qty]], 9, FALSE)</f>
        <v>157</v>
      </c>
      <c r="E3">
        <f>C3*D3</f>
        <v>296.72999999999996</v>
      </c>
    </row>
    <row r="4" spans="1:5" x14ac:dyDescent="0.25">
      <c r="C4" s="19"/>
      <c r="D4" s="16"/>
      <c r="E4" s="19"/>
    </row>
    <row r="5" spans="1:5" x14ac:dyDescent="0.25">
      <c r="A5" s="23"/>
      <c r="B5" s="24" t="s">
        <v>186</v>
      </c>
      <c r="C5" s="25"/>
      <c r="D5" s="26"/>
      <c r="E5" s="25"/>
    </row>
    <row r="6" spans="1:5" x14ac:dyDescent="0.25">
      <c r="A6" s="17">
        <v>4002242</v>
      </c>
      <c r="B6" t="str">
        <f>VLOOKUP(A6, Rate[[SAP Code]:[Qty]], 2, FALSE)</f>
        <v>Commissioning - Presence HUB</v>
      </c>
      <c r="C6" s="19">
        <f>VLOOKUP($A6, Rate[[SAP Code]:[Qty]], 3, FALSE)</f>
        <v>10.99</v>
      </c>
      <c r="D6" s="31">
        <f>VLOOKUP($A6, Rate[[SAP Code]:[Qty]], 9, FALSE)</f>
        <v>2</v>
      </c>
      <c r="E6" s="19">
        <f>C6*D6</f>
        <v>21.98</v>
      </c>
    </row>
    <row r="7" spans="1:5" x14ac:dyDescent="0.25">
      <c r="A7" s="30">
        <v>4002243</v>
      </c>
      <c r="B7" s="12" t="str">
        <f>VLOOKUP(A7, Rate[[SAP Code]:[Qty]], 2, FALSE)</f>
        <v>Commissioning - Presence Sensor</v>
      </c>
      <c r="C7" s="21">
        <f>VLOOKUP($A7, Rate[[SAP Code]:[Qty]], 3, FALSE)</f>
        <v>2.95</v>
      </c>
      <c r="D7" s="32">
        <f>VLOOKUP($A7, Rate[[SAP Code]:[Qty]], 9, FALSE)</f>
        <v>38</v>
      </c>
      <c r="E7" s="21">
        <f>C7*D7</f>
        <v>112.10000000000001</v>
      </c>
    </row>
    <row r="8" spans="1:5" x14ac:dyDescent="0.25">
      <c r="A8" s="17">
        <v>4002276</v>
      </c>
      <c r="B8" t="str">
        <f>VLOOKUP(A8, Rate[[SAP Code]:[Qty]], 2, FALSE)</f>
        <v>Commissioning - Gateway Primary</v>
      </c>
      <c r="C8" s="19">
        <f>VLOOKUP($A8, Rate[[SAP Code]:[Qty]], 3, FALSE)</f>
        <v>14.67</v>
      </c>
      <c r="D8" s="31">
        <f>VLOOKUP($A8, Rate[[SAP Code]:[Qty]], 9, FALSE)</f>
        <v>0</v>
      </c>
      <c r="E8" s="19">
        <f>C8*D8</f>
        <v>0</v>
      </c>
    </row>
    <row r="9" spans="1:5" x14ac:dyDescent="0.25">
      <c r="A9" s="30">
        <v>4002277</v>
      </c>
      <c r="B9" s="12" t="str">
        <f>VLOOKUP(A9, Rate[[SAP Code]:[Qty]], 2, FALSE)</f>
        <v>Commissioning – Router AU with Telstra SIM</v>
      </c>
      <c r="C9" s="21">
        <f>VLOOKUP($A9, Rate[[SAP Code]:[Qty]], 3, FALSE)</f>
        <v>13.89</v>
      </c>
      <c r="D9" s="32">
        <f>VLOOKUP($A9, Rate[[SAP Code]:[Qty]], 9, FALSE)</f>
        <v>0</v>
      </c>
      <c r="E9" s="21">
        <f>C9*D9</f>
        <v>0</v>
      </c>
    </row>
    <row r="10" spans="1:5" x14ac:dyDescent="0.25">
      <c r="C10" s="19"/>
      <c r="D10" s="16"/>
      <c r="E10" s="19"/>
    </row>
    <row r="11" spans="1:5" x14ac:dyDescent="0.25">
      <c r="A11" s="23"/>
      <c r="B11" s="24" t="s">
        <v>185</v>
      </c>
      <c r="C11" s="23"/>
      <c r="D11" s="23"/>
      <c r="E11" s="23"/>
    </row>
    <row r="12" spans="1:5" x14ac:dyDescent="0.25">
      <c r="A12" s="17">
        <v>4002237</v>
      </c>
      <c r="B12" t="str">
        <f>VLOOKUP($A12, Rate[[SAP Code]:[Qty]], 2, FALSE)</f>
        <v>Dropship - Per article fee (International)</v>
      </c>
      <c r="C12" s="19">
        <f>VLOOKUP($A12, Rate[[SAP Code]:[Qty]], 3, FALSE)</f>
        <v>5.49</v>
      </c>
      <c r="D12" s="31">
        <f>VLOOKUP($A12, Rate[[SAP Code]:[Qty]], 9, FALSE)</f>
        <v>11</v>
      </c>
      <c r="E12" s="19">
        <f>C12*D12</f>
        <v>60.39</v>
      </c>
    </row>
    <row r="13" spans="1:5" x14ac:dyDescent="0.25">
      <c r="A13" s="30">
        <v>4002238</v>
      </c>
      <c r="B13" s="12" t="str">
        <f>VLOOKUP(A13, Rate[[SAP Code]:[Qty]], 2, FALSE)</f>
        <v>Dropship - Per article fee (Australia-wide)</v>
      </c>
      <c r="C13" s="21">
        <f>VLOOKUP($A13, Rate[[SAP Code]:[Qty]], 3, FALSE)</f>
        <v>3.28</v>
      </c>
      <c r="D13" s="32">
        <f>VLOOKUP($A13, Rate[[SAP Code]:[Qty]], 9, FALSE)</f>
        <v>0</v>
      </c>
      <c r="E13" s="21">
        <f>C13*D13</f>
        <v>0</v>
      </c>
    </row>
    <row r="14" spans="1:5" x14ac:dyDescent="0.25">
      <c r="A14" s="17">
        <v>4002239</v>
      </c>
      <c r="B14" t="str">
        <f>VLOOKUP(A14, Rate[[SAP Code]:[Qty]], 2, FALSE)</f>
        <v>Dropship - Per item fee</v>
      </c>
      <c r="C14" s="19">
        <f>VLOOKUP($A14, Rate[[SAP Code]:[Qty]], 3, FALSE)</f>
        <v>2.48</v>
      </c>
      <c r="D14" s="31">
        <f>VLOOKUP($A14, Rate[[SAP Code]:[Qty]], 9, FALSE)</f>
        <v>189</v>
      </c>
      <c r="E14" s="19">
        <f>C14*D14</f>
        <v>468.71999999999997</v>
      </c>
    </row>
    <row r="15" spans="1:5" x14ac:dyDescent="0.25">
      <c r="C15" s="19"/>
      <c r="D15" s="16"/>
      <c r="E15" s="19"/>
    </row>
    <row r="16" spans="1:5" x14ac:dyDescent="0.25">
      <c r="A16" s="24"/>
      <c r="B16" s="24" t="s">
        <v>187</v>
      </c>
      <c r="C16" s="27"/>
      <c r="D16" s="28"/>
      <c r="E16" s="27"/>
    </row>
    <row r="17" spans="1:5" x14ac:dyDescent="0.25">
      <c r="A17" s="17">
        <v>4002244</v>
      </c>
      <c r="B17" t="str">
        <f>VLOOKUP(A17, Rate[[SAP Code]:[Qty]], 2, FALSE)</f>
        <v>RTS - Per Order Fee</v>
      </c>
      <c r="C17" s="19">
        <f>VLOOKUP($A17, Rate[[SAP Code]:[Qty]], 3, FALSE)</f>
        <v>5.57</v>
      </c>
      <c r="D17" s="14" t="s">
        <v>165</v>
      </c>
      <c r="E17" s="19">
        <f>C17*D17</f>
        <v>0</v>
      </c>
    </row>
    <row r="18" spans="1:5" x14ac:dyDescent="0.25">
      <c r="C18" s="19"/>
      <c r="D18" s="16"/>
      <c r="E18" s="19"/>
    </row>
    <row r="19" spans="1:5" x14ac:dyDescent="0.25">
      <c r="A19" s="24"/>
      <c r="B19" s="24" t="s">
        <v>188</v>
      </c>
      <c r="C19" s="29"/>
      <c r="D19" s="28"/>
      <c r="E19" s="29"/>
    </row>
    <row r="20" spans="1:5" x14ac:dyDescent="0.25">
      <c r="A20" s="17" t="s">
        <v>30</v>
      </c>
      <c r="B20" t="str">
        <f>VLOOKUP(A20, Rate[[SAP Code]:[Qty]], 2, FALSE)</f>
        <v>Pallet Storage</v>
      </c>
      <c r="C20" s="19">
        <f>VLOOKUP($A20, Rate[[SAP Code]:[Qty]], 3, FALSE)</f>
        <v>6.2</v>
      </c>
      <c r="D20" s="14"/>
      <c r="E20" s="36">
        <f>C20*D20</f>
        <v>0</v>
      </c>
    </row>
    <row r="21" spans="1:5" x14ac:dyDescent="0.25">
      <c r="A21" s="30" t="s">
        <v>32</v>
      </c>
      <c r="B21" s="12" t="str">
        <f>VLOOKUP(A21, Rate[[SAP Code]:[Qty]], 2, FALSE)</f>
        <v>Sub-Account Freight Costs</v>
      </c>
      <c r="C21" s="21">
        <f>VLOOKUP($A21, Rate[[SAP Code]:[Qty]], 3, FALSE)</f>
        <v>1</v>
      </c>
      <c r="D21" s="14"/>
      <c r="E21" s="37">
        <f>C21*D21</f>
        <v>0</v>
      </c>
    </row>
    <row r="22" spans="1:5" x14ac:dyDescent="0.25">
      <c r="A22" s="17" t="s">
        <v>226</v>
      </c>
      <c r="B22" t="str">
        <f>VLOOKUP(A22, Rate[[SAP Code]:[Qty]], 2, FALSE)</f>
        <v>Adhoc Fees</v>
      </c>
      <c r="C22" s="19">
        <f>VLOOKUP($A22, Rate[[SAP Code]:[Qty]], 3, FALSE)</f>
        <v>1</v>
      </c>
      <c r="D22" s="14"/>
      <c r="E22" s="36">
        <f>C22*D22</f>
        <v>0</v>
      </c>
    </row>
    <row r="23" spans="1:5" x14ac:dyDescent="0.25">
      <c r="A23" s="30" t="s">
        <v>33</v>
      </c>
      <c r="B23" s="12" t="str">
        <f>VLOOKUP(A23, Rate[[SAP Code]:[Qty]], 2, FALSE)</f>
        <v>Disbursement Fee</v>
      </c>
      <c r="C23" s="21">
        <f>VLOOKUP($A23, Rate[[SAP Code]:[Qty]], 3, FALSE)</f>
        <v>1</v>
      </c>
      <c r="D23" s="14"/>
      <c r="E23" s="37">
        <f>C23*D23</f>
        <v>0</v>
      </c>
    </row>
    <row r="24" spans="1:5" x14ac:dyDescent="0.25">
      <c r="A24" s="31">
        <v>1200108</v>
      </c>
      <c r="B24" t="str">
        <f>VLOOKUP(A24, Rate[[SAP Code]:[Qty]], 2, FALSE)</f>
        <v>Labour - Labour Rate Weekday</v>
      </c>
      <c r="C24" s="19">
        <f>VLOOKUP($A24, Rate[[SAP Code]:[Qty]], 3, FALSE)</f>
        <v>110</v>
      </c>
      <c r="D24" s="14"/>
      <c r="E24" s="36">
        <f>C24*D24</f>
        <v>0</v>
      </c>
    </row>
    <row r="25" spans="1:5" x14ac:dyDescent="0.25">
      <c r="A25" s="30">
        <v>1200109</v>
      </c>
      <c r="B25" s="12" t="str">
        <f>VLOOKUP(A25, Rate[[SAP Code]:[Qty]], 2, FALSE)</f>
        <v>API Management</v>
      </c>
      <c r="C25" s="47">
        <f>VLOOKUP($A25, Rate[[SAP Code]:[Qty]], 3, FALSE)</f>
        <v>180</v>
      </c>
      <c r="D25" s="14" t="s">
        <v>163</v>
      </c>
      <c r="E25" s="48">
        <f>C25*D25</f>
        <v>180</v>
      </c>
    </row>
    <row r="27" spans="1:5" x14ac:dyDescent="0.25">
      <c r="D27" s="22" t="s">
        <v>140</v>
      </c>
      <c r="E27" s="10">
        <f>SUM(E2:E25)</f>
        <v>1139.92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F9B2-98BD-4910-92FA-EC887E76DC30}">
  <sheetPr codeName="Sheet6">
    <tabColor theme="1" tint="0.499984740745262"/>
  </sheetPr>
  <dimension ref="A1:B6"/>
  <sheetViews>
    <sheetView workbookViewId="0">
      <selection activeCell="C8" sqref="C8"/>
    </sheetView>
  </sheetViews>
  <sheetFormatPr defaultRowHeight="15" x14ac:dyDescent="0.25"/>
  <cols>
    <col min="1" max="1" width="14.140625" bestFit="1" customWidth="1"/>
    <col min="2" max="2" width="25.85546875" bestFit="1" customWidth="1"/>
  </cols>
  <sheetData>
    <row r="1" spans="1:2" x14ac:dyDescent="0.25">
      <c r="A1" s="13" t="s">
        <v>157</v>
      </c>
      <c r="B1" s="13" t="s">
        <v>156</v>
      </c>
    </row>
    <row r="2" spans="1:2" x14ac:dyDescent="0.25">
      <c r="A2" t="s">
        <v>158</v>
      </c>
      <c r="B2" t="str">
        <f>_xlfn.IFNA(INDEX(Ship_SKU[Error],MATCH(TRUE,INDEX(Ship_SKU[Error]&lt;&gt;"",0),0)), "")</f>
        <v/>
      </c>
    </row>
    <row r="3" spans="1:2" x14ac:dyDescent="0.25">
      <c r="A3" s="12" t="s">
        <v>159</v>
      </c>
      <c r="B3" s="12" t="str">
        <f>_xlfn.IFNA(INDEX(Ship_Type[Error],MATCH(TRUE,INDEX(Ship_Type[Error]&lt;&gt;"",0),0)), "")</f>
        <v/>
      </c>
    </row>
    <row r="4" spans="1:2" x14ac:dyDescent="0.25">
      <c r="A4" t="s">
        <v>160</v>
      </c>
      <c r="B4" t="str">
        <f>_xlfn.IFNA(INDEX(SKU[Error],MATCH(TRUE,INDEX(SKU[Error]&lt;&gt;"",0),0)), "")</f>
        <v/>
      </c>
    </row>
    <row r="5" spans="1:2" x14ac:dyDescent="0.25">
      <c r="A5" s="12" t="s">
        <v>161</v>
      </c>
      <c r="B5" s="12" t="str">
        <f>_xlfn.IFNA(INDEX(Type[Error],MATCH(TRUE,INDEX(Type[Error]&lt;&gt;"",0),0)), "")</f>
        <v/>
      </c>
    </row>
    <row r="6" spans="1:2" x14ac:dyDescent="0.25">
      <c r="A6" t="s">
        <v>164</v>
      </c>
      <c r="B6" t="str">
        <f>_xlfn.IFNA(INDEX(Rate[Error],MATCH(TRUE,INDEX(Rate[Error]&lt;&gt;"",0),0)), "")</f>
        <v/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Shipped SKU</vt:lpstr>
      <vt:lpstr>Shipped Types</vt:lpstr>
      <vt:lpstr>Rates</vt:lpstr>
      <vt:lpstr>SKU Summary</vt:lpstr>
      <vt:lpstr>Type Summary</vt:lpstr>
      <vt:lpstr>Summary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Bilby</dc:creator>
  <cp:lastModifiedBy>AJ Bilby</cp:lastModifiedBy>
  <dcterms:created xsi:type="dcterms:W3CDTF">2025-08-26T00:25:30Z</dcterms:created>
  <dcterms:modified xsi:type="dcterms:W3CDTF">2025-12-04T00:40:45Z</dcterms:modified>
</cp:coreProperties>
</file>